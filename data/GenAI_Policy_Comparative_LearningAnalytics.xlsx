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custom-properties+xml" PartName="/docProps/custom.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EST_NYC_Coding" sheetId="1" r:id="rId4"/>
    <sheet state="visible" name="NEW_NYC_Coding" sheetId="2" r:id="rId5"/>
    <sheet state="hidden" name="TEST_HK_Coding" sheetId="3" r:id="rId6"/>
    <sheet state="visible" name="NEW_HK_Coding" sheetId="4" r:id="rId7"/>
    <sheet state="visible" name="Updated_Codebook" sheetId="5" r:id="rId8"/>
    <sheet state="hidden" name="Combined_Shallow Copy" sheetId="6" r:id="rId9"/>
    <sheet state="visible" name="NEW_Combined_Shallow Copy" sheetId="7" r:id="rId10"/>
    <sheet state="visible" name="Pivot Table 6" sheetId="8" r:id="rId11"/>
    <sheet state="hidden" name="NYC_Shallow Copy" sheetId="9" r:id="rId12"/>
    <sheet state="hidden" name="Pivot Tables" sheetId="10" r:id="rId13"/>
    <sheet state="hidden" name="HK_Shallow Copy" sheetId="11" r:id="rId14"/>
    <sheet state="hidden" name="4_Dashboard" sheetId="12" r:id="rId15"/>
    <sheet state="hidden" name="4.1_Dashboard" sheetId="13" r:id="rId16"/>
    <sheet state="visible" name="Syllabus Exclusion" sheetId="14" r:id="rId17"/>
    <sheet state="hidden" name="Archived Documents" sheetId="15" r:id="rId18"/>
  </sheets>
  <definedNames>
    <definedName hidden="1" localSheetId="3" name="_xlnm._FilterDatabase">NEW_HK_Coding!$A$4:$V$59</definedName>
  </definedNames>
  <calcPr/>
  <pivotCaches>
    <pivotCache cacheId="0" r:id="rId19"/>
    <pivotCache cacheId="1" r:id="rId20"/>
  </pivotCaches>
  <extLst>
    <ext uri="GoogleSheetsCustomDataVersion2">
      <go:sheetsCustomData xmlns:go="http://customooxmlschemas.google.com/" r:id="rId21" roundtripDataChecksum="88Cpj5aaMEt588vPZENDdY4sXgwuJRvb2dBK6oH+M5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3">
      <text>
        <t xml:space="preserve">======
ID#AAAB5AkfwnA
Emy Yamamoto    (2026-04-27 20:22:34)
Though I think these will be useful when writing the paper, I wouldn't rely on them for the quantitative analysis because they don't capture all the ideas being talked about in the document.</t>
      </text>
    </comment>
  </commentList>
  <extLst>
    <ext uri="GoogleSheetsCustomDataVersion2">
      <go:sheetsCustomData xmlns:go="http://customooxmlschemas.google.com/" r:id="rId1" roundtripDataSignature="AMtx7mgVk8WcmzTmZi2OVtdBm2Ms1heli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3">
      <text>
        <t xml:space="preserve">======
ID#AAAB5Kqn3Tk
Yan Mak    (2026-05-01 22:58:30)
Follow HKU's policies
Not specified here, but can code it using HKU's coding</t>
      </text>
    </comment>
    <comment authorId="0" ref="J31">
      <text>
        <t xml:space="preserve">======
ID#AAAB5Doo094
Emy Yamamoto    (2026-04-28 21:42:01)
I think this could be Cautious because to my knowledge, there wasn't a specification of when and what assignments to allows the use the GenAI. Feel free to dismiss this if not correct</t>
      </text>
    </comment>
    <comment authorId="0" ref="A28">
      <text>
        <t xml:space="preserve">======
ID#AAAB5BJXpsQ
Emy Yamamoto    (2026-04-27 23:48:49)
Emy checks 24-48</t>
      </text>
    </comment>
  </commentList>
  <extLst>
    <ext uri="GoogleSheetsCustomDataVersion2">
      <go:sheetsCustomData xmlns:go="http://customooxmlschemas.google.com/" r:id="rId1" roundtripDataSignature="AMtx7mg3wXDfYjcoyeGDTHU2xKYhfkRWp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8">
      <text>
        <t xml:space="preserve">======
ID#AAAB6gIivYk
Yan Mak    (2026-05-15 20:09:28)
"cautious"?</t>
      </text>
    </comment>
    <comment authorId="0" ref="G16">
      <text>
        <t xml:space="preserve">======
ID#AAAB6gIivNc
Yan Mak    (2026-05-15 18:47:02)
Despite the name, I think it works more like high-level guidelines.</t>
      </text>
    </comment>
    <comment authorId="0" ref="H16">
      <text>
        <t xml:space="preserve">======
ID#AAAB6ePltbo
Yan Mak    (2026-05-14 22:00:58)
Copyright says 2023, but the page cites a 2024 reference, so it must be after that</t>
      </text>
    </comment>
  </commentList>
  <extLst>
    <ext uri="GoogleSheetsCustomDataVersion2">
      <go:sheetsCustomData xmlns:go="http://customooxmlschemas.google.com/" r:id="rId1" roundtripDataSignature="AMtx7mjHVKt2HgUzri6+pBNtyubtBz3ED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ID#AAAB6ePluHs
Emy Yamamoto    (2026-05-15 03:05:50)
@ym3112@tc.columbia.edu @yy3607@tc.columbia.edu I made some minor changes and added some examples (generated by AI) to help with coding</t>
      </text>
    </comment>
  </commentList>
  <extLst>
    <ext uri="GoogleSheetsCustomDataVersion2">
      <go:sheetsCustomData xmlns:go="http://customooxmlschemas.google.com/" r:id="rId1" roundtripDataSignature="AMtx7mgwHhwRTc2sfeiOpoTivGJXOtLoxQ=="/>
    </ext>
  </extLst>
</comments>
</file>

<file path=xl/sharedStrings.xml><?xml version="1.0" encoding="utf-8"?>
<sst xmlns="http://schemas.openxmlformats.org/spreadsheetml/2006/main" count="8709" uniqueCount="1069">
  <si>
    <t>NYC Coding — GenAI Policy Coding</t>
  </si>
  <si>
    <t>ID</t>
  </si>
  <si>
    <t>Tier</t>
  </si>
  <si>
    <t>Region</t>
  </si>
  <si>
    <t>Jurisdiction / Institution</t>
  </si>
  <si>
    <t>Institution</t>
  </si>
  <si>
    <t>Document Title</t>
  </si>
  <si>
    <t>Document Type</t>
  </si>
  <si>
    <t>Publication Date</t>
  </si>
  <si>
    <t>Source URL</t>
  </si>
  <si>
    <t>Stance</t>
  </si>
  <si>
    <t>Disclosure</t>
  </si>
  <si>
    <t>Discretion</t>
  </si>
  <si>
    <t>Focus (Primary)</t>
  </si>
  <si>
    <t>Focus (Secondary)</t>
  </si>
  <si>
    <t>Enforcement</t>
  </si>
  <si>
    <t>Coverage</t>
  </si>
  <si>
    <t>Key Quote (verbatim)</t>
  </si>
  <si>
    <t>Coder Notes</t>
  </si>
  <si>
    <t>Coder</t>
  </si>
  <si>
    <t>Date Coded</t>
  </si>
  <si>
    <t>Coder Agreement (Initials if agree and DONT AGREE)</t>
  </si>
  <si>
    <t>NYC-001</t>
  </si>
  <si>
    <t>National/Federal</t>
  </si>
  <si>
    <t>NYC</t>
  </si>
  <si>
    <t>U.S. Office of Management and Budget</t>
  </si>
  <si>
    <t>OMB M-25-21: Accelerating Federal Use of AI through Innovation, Governance, and Public Trust</t>
  </si>
  <si>
    <t>Official Guidance</t>
  </si>
  <si>
    <t>https://www.whitehouse.gov/wp-content/uploads/2025/02/M-25-21-Accelerating-Federal-Use-of-AI-through-Innovation-Governance-and-Public-Trust.pdf</t>
  </si>
  <si>
    <t>Functional</t>
  </si>
  <si>
    <t>Not specified</t>
  </si>
  <si>
    <t>Gov-mandated</t>
  </si>
  <si>
    <t>Privacy/Data/Ethics</t>
  </si>
  <si>
    <t>Professional Readiness</t>
  </si>
  <si>
    <t>Guidance only</t>
  </si>
  <si>
    <t>All community</t>
  </si>
  <si>
    <t>“Agencies are directed to accelerate the Federal use of AI by focusing on three key priorities: innovation, governance, and public trust.”</t>
  </si>
  <si>
    <t>EY</t>
  </si>
  <si>
    <t>NYC-002</t>
  </si>
  <si>
    <t>U.S. Department of Education</t>
  </si>
  <si>
    <t>U.S. Department of Education Dear Colleague Letter on AI and Education Outcomes</t>
  </si>
  <si>
    <t>https://www.ed.gov/media/document/opepd-ai-dear-colleague-letter-7222025-110427.pdf</t>
  </si>
  <si>
    <t>Encouraging</t>
  </si>
  <si>
    <t>Hybrid/Mixed</t>
  </si>
  <si>
    <t>Pedagogy/Learning</t>
  </si>
  <si>
    <t>AI Literacy</t>
  </si>
  <si>
    <t>Both</t>
  </si>
  <si>
    <t>“The Department encourages grantees to explore how AI can enhance teaching and learning, expand access, and support educators, without replacing the critical role they play.”</t>
  </si>
  <si>
    <t>NYC-003</t>
  </si>
  <si>
    <t>U.S. Federal Government</t>
  </si>
  <si>
    <t>Removing Barriers to American Leadership in Artificial Intelligence</t>
  </si>
  <si>
    <t>Executive Order</t>
  </si>
  <si>
    <t>https://www.whitehouse.gov/presidential-actions/2025/01/removing-barriers-to-american-leadership-in-artificial-intelligence/</t>
  </si>
  <si>
    <t>"It is the policy of the United States to sustain and enhance America’s global AI dominance in order to promote human flourishing, economic competitiveness, and national security."</t>
  </si>
  <si>
    <t>NYC-004</t>
  </si>
  <si>
    <t>Artificial Intelligence and the Future of Teaching and Learning</t>
  </si>
  <si>
    <t>https://www.ed.gov/sites/ed/files/documents/ai-report/ai-report.pdf</t>
  </si>
  <si>
    <t>Cautious</t>
  </si>
  <si>
    <t>Recommended</t>
  </si>
  <si>
    <t>Equity</t>
  </si>
  <si>
    <t>"In summary, it is imperative to address AI in education now to realize key opportunities, prevent and mitigate emergent risks, and tackle unintended consequences."</t>
  </si>
  <si>
    <t>NYC-005</t>
  </si>
  <si>
    <t>National Institute of Standards and Technology (NIST)</t>
  </si>
  <si>
    <t xml:space="preserve">Artificial Intelligence Risk Management Framework: Generative Artificial Intelligence Profile </t>
  </si>
  <si>
    <t>https://doi.org/10.6028/NIST.AI.600-1</t>
  </si>
  <si>
    <t>"This document defines risks that are novel to or exacerbated by the use of GAI. After introducing and describing these risks, the document provides a set of suggested actions to help organizations govern, map, measure, and manage these risks."</t>
  </si>
  <si>
    <t>This document has a multilevel analysis of different aspects of Gen AI, the key quote might not be enough to summarize all the ideas in the document.</t>
  </si>
  <si>
    <t>NYC-006</t>
  </si>
  <si>
    <t>State/Territory</t>
  </si>
  <si>
    <t>Office of the State Comptroller; Division of State Government Accountability</t>
  </si>
  <si>
    <t>New York State Artificial Intelligence Governance Audit</t>
  </si>
  <si>
    <t>Other</t>
  </si>
  <si>
    <t>https://www.osc.ny.gov/state-agencies/audits/2025/04/03/new-york-state-artificial-intelligence-governance?utm_source=chatgpt.com</t>
  </si>
  <si>
    <t>NYS does not have an effective AI governance framework. While the AI Policy outlines certain requirements or recommendations for agencies to consider, it lacks adequate guidance and procedures on how these agencies can meet these expectations.</t>
  </si>
  <si>
    <t>NYC-007</t>
  </si>
  <si>
    <t>New York City Office of Technology and Innovation (OTI)</t>
  </si>
  <si>
    <t>AI Public Participation &amp;
Engagement Guidance</t>
  </si>
  <si>
    <t>https://www.nyc.gov/assets/oti/downloads/pdf/NYC-OTI_Guidance_AI-Public-Participation-and-Engagement.pdf</t>
  </si>
  <si>
    <t>"As AI tools are increasingly used and incorporated into agencies’ existing software and systems, a careful consideration of varied real or potential public impacts will be critical. Agencies should seek to integrate meaningful public participation and engagement, where appropriate, to understand these impacts, mitigate risk, support trust and transparency, and facilitate successful development and roll-out that serves the needs and interests of New Yorkers."</t>
  </si>
  <si>
    <t>NYC-008</t>
  </si>
  <si>
    <t>NYC Use Guidance: Generative Artificial Intelligence</t>
  </si>
  <si>
    <t>https://www.nyc.gov/assets/oti/downloads/pdf/New-York-City-Generative-AI-Use-Guidance.pdf</t>
  </si>
  <si>
    <t>Required</t>
  </si>
  <si>
    <t>"The City is committed to a responsible approach to emerging technologies. This Use Guidance provides a framework for the responsible use of GenAI by City personnel, aligned with the City’s AI Principles, and applicable laws and policies."</t>
  </si>
  <si>
    <t>NYC-009</t>
  </si>
  <si>
    <t>New York State Office of Information Technology Services (ITS)</t>
  </si>
  <si>
    <t>NYS ITS Acceptable Use of Artificial Intelligence Technologies</t>
  </si>
  <si>
    <t>https://its.ny.gov/system/files/documents/2026/01/nys-p24-001-acceptable-use-of-ai.pdf</t>
  </si>
  <si>
    <t>"Through the responsible use of AI, SEs can drive innovation, increase operational efficiencies, and better serve New Yorkers while protecting privacy, managing risk, and promoting accountability, safety, and equity. Agencies are encouraged to responsibly adopt AI technologies and should consider this policy a tool to aid in that adoption."</t>
  </si>
  <si>
    <t>NYC-010</t>
  </si>
  <si>
    <t>Institutional</t>
  </si>
  <si>
    <t>Columbia University</t>
  </si>
  <si>
    <t>Columbia</t>
  </si>
  <si>
    <t>Generative AI Policy (Office of the Provost)</t>
  </si>
  <si>
    <t>University Policy</t>
  </si>
  <si>
    <t>https://provost.columbia.edu/content/office-senior-vice-provost/ai-policy</t>
  </si>
  <si>
    <t>Academic Integrity</t>
  </si>
  <si>
    <t>Referenced to integrity code</t>
  </si>
  <si>
    <t>"Generative AI tools have the capacity to expedite existing processes and make possible new ones. These tools also have the potential to foster student learning and advance many aspects of research and health care delivery. While the University supports the responsible use of AI, these novel tools have notable limitations and present new risks that must be taken into consideration when using these technologies."</t>
  </si>
  <si>
    <t>NYC-011</t>
  </si>
  <si>
    <t xml:space="preserve">Best Practices for Responsible AI Use
</t>
  </si>
  <si>
    <t>https://etc.cuit.columbia.edu/news/best-practices-responsible-ai-use</t>
  </si>
  <si>
    <t>Conditional</t>
  </si>
  <si>
    <t>Instructor decides</t>
  </si>
  <si>
    <t xml:space="preserve">CUIT’s guidance is designed to help the Columbia community benefit from AI while avoiding common failure points, particularly when institutional or sensitive data is involved.
</t>
  </si>
  <si>
    <t>NYC-012</t>
  </si>
  <si>
    <t>New York University</t>
  </si>
  <si>
    <t>NYU</t>
  </si>
  <si>
    <t>Teaching with Generative AI — NYU FAQ</t>
  </si>
  <si>
    <t>https://www.nyu.edu/faculty/teaching-and-learning-resources/teaching-with-generative-tools/frequently-asked-questions.html</t>
  </si>
  <si>
    <t>Explicit penalties</t>
  </si>
  <si>
    <t>Faculty only</t>
  </si>
  <si>
    <t>"Generative AI is a new arrival in the academic environment and can be used in a wide variety of ways. Because of this novelty and flexibility, there are few standard approaches to its use beyond an Faculty/Inst. decides restriction on taking credit for AI output without acknowledging its use. Most policies will be set by the schools or by individual faculty members."</t>
  </si>
  <si>
    <t>NYC-013</t>
  </si>
  <si>
    <t>Faculty/School</t>
  </si>
  <si>
    <t>Academic Integrity and Syllabus Support in the Age of Generative AI</t>
  </si>
  <si>
    <t>https://steinhardt.nyu.edu/faculty-and-staff/academic-affairs/steinhardt-ai-hub/academic-integrity-and-syllabus-support-age</t>
  </si>
  <si>
    <t>"Creating clear policies around AI use is essential to maintaining academic integrity and setting student expectations. These policies should outline when and how AI tools like ChatGPT, Perplexity.ai, or Grammarly can be used and ensure students understand the ethical implications of AI in academic work."</t>
  </si>
  <si>
    <t>NYC-014</t>
  </si>
  <si>
    <t>New York University (Stern)</t>
  </si>
  <si>
    <t>Teaching and Learning with Generative AI at NYU Stern</t>
  </si>
  <si>
    <t>Library Guide</t>
  </si>
  <si>
    <t>https://sites.google.com/stern.nyu.edu/teaching-learning-gen-ai/home</t>
  </si>
  <si>
    <t>“This resource was created by the Learning Science Lab to support the NYU Stern community in thinking deliberately about the use of generative AI (genAI) and other related technologies as they arise.”</t>
  </si>
  <si>
    <t>NYC-015</t>
  </si>
  <si>
    <t xml:space="preserve">New York University (Tisch School of the Arts)
</t>
  </si>
  <si>
    <t>Tisch Academic Integrity</t>
  </si>
  <si>
    <t>https://tisch.nyu.edu/faculty/academic-integ</t>
  </si>
  <si>
    <t xml:space="preserve">Generative AI: Please note, with recent developments in technologies like ChatGPT, the existence of a well-written paragraph is no longer evidence of human effort. To read the Provost's notes on how to adapt writing assignments in the age of generative AI, click here. </t>
  </si>
  <si>
    <t>NYC-016</t>
  </si>
  <si>
    <t>New York University (Tisch School of the Arts Provost)</t>
  </si>
  <si>
    <t xml:space="preserve">Adapting Writing Assignments to Generative AI
</t>
  </si>
  <si>
    <t>FAQ/Resource Page</t>
  </si>
  <si>
    <t>https://docs.google.com/document/d/1CbWKCBCMuO1kJlsK-ukD5lXGVuKuSzq8H8MFAQVvdDM/edit?usp=sharing</t>
  </si>
  <si>
    <t xml:space="preserve">Even if an instructor does not intend to change individual assignments, the availability and generality of these tools increases the need for clarity around the instructor’s expectations. Whatever strategies an instructor might adopt for individual assignments or a whole course, instructors should explain to students what is expected around AI use. </t>
  </si>
  <si>
    <t>NYC-017</t>
  </si>
  <si>
    <t>City University of New York (CUNY)</t>
  </si>
  <si>
    <t>CUNY</t>
  </si>
  <si>
    <t>CUNY AI Academic Hub (General)</t>
  </si>
  <si>
    <t>https://www.cuny.edu/academics/ai-academic-hub/</t>
  </si>
  <si>
    <t>"Our Vision is shaping the Future of Human-AI Powered Education. CUNY is at the forefront of AI-driven transformation in higher education. Our mission is to harness AI’s potential to empower learning, drive research, and foster innovation—ensuring equitable opportunities for all."</t>
  </si>
  <si>
    <t>NYC-018</t>
  </si>
  <si>
    <t>Baruch College (CUNY)</t>
  </si>
  <si>
    <t>Guidelines for AI Use at Baruch College</t>
  </si>
  <si>
    <t>https://provost.baruch.cuny.edu/artificial-intelligence-think-tank/ai-use-guidance/</t>
  </si>
  <si>
    <t>"Faculty are encouraged to integrate artificial intelligence education into their courses as appropriate to their disciplines, but are not obligated to do so. All syllabi should include a course- and discipline-appropriate policy on the use of generative AI."</t>
  </si>
  <si>
    <t>NYC-019</t>
  </si>
  <si>
    <t>Kingsborough Community College (CUNY)</t>
  </si>
  <si>
    <t>Kingsborough Community College Academic Integrity Policy</t>
  </si>
  <si>
    <t>https://www.kbcc.cuny.edu/studentaffairs/student_conduct/academic_integrity.html</t>
  </si>
  <si>
    <t>Faculty/Inst. decides</t>
  </si>
  <si>
    <t>Students only</t>
  </si>
  <si>
    <t>"Example of cheating include: (...) Submitting content generated by another person or an AI tool or any other source as solely your own work as your own, including, but not limited to, material obtained in whole or in part from commercial study or homework help websites, or content generated or altered by AI or digital paraphrasing tools without proper citation."</t>
  </si>
  <si>
    <t>NYC-020</t>
  </si>
  <si>
    <t>The City College of New York (CUNY)</t>
  </si>
  <si>
    <t>AI Across CUNY</t>
  </si>
  <si>
    <t>https://www.ccny.cuny.edu/tlc/making-your-course-available?srsltid=AfmBOoojIHHL2OxDCdrK-0Xc9elMyrAnNWVcOtEzwybtMdTvH4Pbcfy-</t>
  </si>
  <si>
    <t>"Our goal is to provide a collaborative space for sharing effective strategies for the responsible and critical use of AI, particularly within the CUNY community."</t>
  </si>
  <si>
    <t>NYC-021</t>
  </si>
  <si>
    <t>Hunter College (CUNY)</t>
  </si>
  <si>
    <t xml:space="preserve">CUNY Academic Integrity Policy
</t>
  </si>
  <si>
    <t>https://www.hunter.cuny.edu/center-for-digital-learning-and-innovative-pedagogy/online-learning-resources/academic-integrity-policy/</t>
  </si>
  <si>
    <t>Preparing students to learn from and use AI responsibly and ethically is critical to the University’s mission, to ensuring academic integrity, to securing the rigor of the University’s academic programs. Further, students must become facile with the use of AI to learn effectively in today’s world and to prepare for their AI-assisted careers and lives in the future.</t>
  </si>
  <si>
    <t>NYC-022</t>
  </si>
  <si>
    <t>Queens College (CUNY)</t>
  </si>
  <si>
    <t>Generative AI in the Classroom: Best Practices, a CETLL Guide</t>
  </si>
  <si>
    <t>https://www.qc.cuny.edu/cetll/wp-content/uploads/sites/138/2026/03/Generative-AI-in-the-Classroom-Best-Practices-a-CETLL-Guide_ACCESSIBLE_3.19.pdf</t>
  </si>
  <si>
    <t xml:space="preserve">Currently, there is no specific CUNY or QC
policy on the use of artificial intelligence in
the classroom outside of mentions of AI in the
CUNY Academic Integrity Policy. This means
that, as instructors, we have a lot of flexibility
and responsibility to consider how and when
the use of generative AI is acceptable in
our classes to clearly communicate these
parameters to our students as we prepare
them for the integration of these technologies
in work and life. </t>
  </si>
  <si>
    <t>NYC-023</t>
  </si>
  <si>
    <t>Teachers College, Columbia University</t>
  </si>
  <si>
    <t xml:space="preserve">Recommendations for Generative AI Use for teaching at TC
</t>
  </si>
  <si>
    <t>https://www.tc.columbia.edu/digitalfuturesinstitute/ai-in-education/recommendations-for-generative-ai-use-at-tc/</t>
  </si>
  <si>
    <t>"TC provides flexibility for instructors to experiment with and use generative AI in their courses. Each TC instructor should set specific policies about student use of generative AI for their course assignments"</t>
  </si>
  <si>
    <t>NYC-024</t>
  </si>
  <si>
    <t>Course-wide</t>
  </si>
  <si>
    <t>Columbia Course 1</t>
  </si>
  <si>
    <t>CSEE 4119: Introduction to Computer Networks</t>
  </si>
  <si>
    <t>Syllabus</t>
  </si>
  <si>
    <t>Fall 2025</t>
  </si>
  <si>
    <t>CSEE 4119_ An Introduction to Computer Networks (Fall 2025).pdf</t>
  </si>
  <si>
    <t>Prohibitive</t>
  </si>
  <si>
    <t>"The use of ChatGPT or any other generative artificial intelligence (AI) tools at any stage of the work process, including preliminary stages, is strictly prohibited. Violations of this policy will be considered academic misconduct."</t>
  </si>
  <si>
    <t>YM</t>
  </si>
  <si>
    <t>NYC-025</t>
  </si>
  <si>
    <t>Columbia Course 2</t>
  </si>
  <si>
    <t>PSYC UN1610: Intro to Statistics for Behavioral Scientists</t>
  </si>
  <si>
    <t>Fall 2025 Syllabus UN1610 Fox-Glassman Statistics for Behavioral Scientists.pdf</t>
  </si>
  <si>
    <t>"“Doing your own work” means making at attempt at each problem without the support of
AI. There are lots of tools that can do stats problems for you. You will do best in this course if
you use these only for checking your work; you will have a very bad time if you regularly replace
the process of learning the material with a tendency to let AI tell you the answer."</t>
  </si>
  <si>
    <t>NYC-026</t>
  </si>
  <si>
    <t>Columbia Course 3</t>
  </si>
  <si>
    <t>COMS 4705: Natural Language Processing</t>
  </si>
  <si>
    <t>COMS 4705_ Natural Language Processing.pdf</t>
  </si>
  <si>
    <t>"AI tools (e.g., ChatGPT, Cursor, Claude Code) are fully allowed for Assignments 1–4. While I recommend doing the assignments on your own (or with minimal AI hints) as prep for exams, you may use AI to fully solve them if you wish."</t>
  </si>
  <si>
    <t>NYC-027</t>
  </si>
  <si>
    <t>Columbia/TC Course 4</t>
  </si>
  <si>
    <t>HUDK 4051 Learning Analytics: Process and Theory</t>
  </si>
  <si>
    <t>Summer 2024</t>
  </si>
  <si>
    <t>HUDK4051_Sp26_Syllabus_Yu.pdf</t>
  </si>
  <si>
    <t>"Generative AI tools are encouraged in this course for research and completion of assignments,
provided that all AI-generated content is clearly attributed as such in the student’s work."</t>
  </si>
  <si>
    <t>NYC-028</t>
  </si>
  <si>
    <t>Columbia Course 5</t>
  </si>
  <si>
    <t>COMS 4160: Introduction to Computer Graphics</t>
  </si>
  <si>
    <t>COMS 4160 — Introduction to Computer Graphics (Fall 2025).pdf</t>
  </si>
  <si>
    <t>“You should not use generative AI to produce the solution to any of the assignments. You are allowed to use generative AI to produce your final project image (but do not lie about it if asked).”</t>
  </si>
  <si>
    <t>NYC-029</t>
  </si>
  <si>
    <t>Columbia Course 6</t>
  </si>
  <si>
    <t>Generative AI for Business</t>
  </si>
  <si>
    <t>olivier toubia - B8609 Generative AI for Business Fall 2025 Toubia.pdf</t>
  </si>
  <si>
    <t>“You will use Generative AI tools for your work in this course. When you use any of these tools to complete assignments, you must describe how you used them to generate your response to the assignment.”</t>
  </si>
  <si>
    <t>NYC-030</t>
  </si>
  <si>
    <t>NYU Course 1</t>
  </si>
  <si>
    <t>Programming &amp; Algorithms using Python - Stern</t>
  </si>
  <si>
    <t>2025Programming_in_Python_Software_DevSosulski (1).pdf</t>
  </si>
  <si>
    <t>"Large language models (LLMS) may be used in this class, however you must cite it as you would any other reference material. Failure to acknowledge that content was GenAI generated will be considered a violation of academic integrity."</t>
  </si>
  <si>
    <t>NYC-031</t>
  </si>
  <si>
    <t>NYU Course 2</t>
  </si>
  <si>
    <t>Global Strategy - Stern</t>
  </si>
  <si>
    <t>MGMT-GB.2340_10_F2026.pdf</t>
  </si>
  <si>
    <t>"Your thoughts, opinions, and personal experiences are integral part of the learning process. As such,
the use of generative AI is prohibited in this class. In this class, students are to engage in authentic
self-reflection and genuine thinking."</t>
  </si>
  <si>
    <t>cy</t>
  </si>
  <si>
    <t>NYC-032</t>
  </si>
  <si>
    <t>NYU Course 3</t>
  </si>
  <si>
    <t>Tax Policy Seminar - NYU Law</t>
  </si>
  <si>
    <t>Spring 2026</t>
  </si>
  <si>
    <t>Tax Policy Seminar Syllabus NYU Spring 2026_2DF65D21-D8A0-861C-BF9EDC4A13E27F5A.pdf</t>
  </si>
  <si>
    <t>"That being said, for purposes of this course, for the response papers (only), the use of large language models/generative AI is expressly permitted as long as (a) you put in red font any material generated by AI; (b) you check any AI-generated content and take full responsibility for it as your written work product; and (c) you disclose and describe your use of AI with a general prefatory note or footnote indicating what background material you provided to the large language model, what prompts you used, and any revisions you made to AI-generated content."</t>
  </si>
  <si>
    <t>NYC-033</t>
  </si>
  <si>
    <t>NYU Course 4</t>
  </si>
  <si>
    <t>Environmental Justice Seminar - NYU Law</t>
  </si>
  <si>
    <t>Early syllabus Spring 2026_33DBB621-E564-129B-AD1D4CB561DDC5F8.pdfg</t>
  </si>
  <si>
    <t>"Students should not use ChatGPT or other generative AI tools as a shortcut or substitute for coming up with their own answers to the prompts. Use of AI tools to help gather information should be done with caution."</t>
  </si>
  <si>
    <t>NYC-034</t>
  </si>
  <si>
    <t>NYU Course 5</t>
  </si>
  <si>
    <t>ENVIRONMENTAL JUSTICE SEMINAR</t>
  </si>
  <si>
    <t>ENVIRONMENTAL JUSTICE SEMINAR.pdf</t>
  </si>
  <si>
    <t>In this assignment, we are expecting students to think critically about the issues on their own and
in collaboration with their group members. Students should not use ChatGPT or other generative
AI tools as a shortcut or substitute for coming up with their own answers to the prompts. Use of
AI tools to help gather information should be done with caution.</t>
  </si>
  <si>
    <t>NYC-035</t>
  </si>
  <si>
    <t>NYU Course 6</t>
  </si>
  <si>
    <t>Foundations of FinTech</t>
  </si>
  <si>
    <t>Fall 2024</t>
  </si>
  <si>
    <t>2024FoF-Fall2024-Sec10-syllabus-2024-10-10.pdf</t>
  </si>
  <si>
    <t>“You can use AI at your own risk, but you are responsible for the accuracy and integrity of anything that you submit.”</t>
  </si>
  <si>
    <t>NYC-036</t>
  </si>
  <si>
    <t>CUNY — Course 1</t>
  </si>
  <si>
    <t>MATH 190: College Algebra</t>
  </si>
  <si>
    <t>Syllabus_190.pdf</t>
  </si>
  <si>
    <t>"You may use generative AI tools (such as ChatGPT) to assist with homework in this course, provided you clearly indicate when and how AI was used, including the specific tool and model. All submitted work must reect your own understandingyou are responsible for checking and explaining any AI-assisted solutions."</t>
  </si>
  <si>
    <t>NYC-037</t>
  </si>
  <si>
    <t>CUNY — Course 2</t>
  </si>
  <si>
    <t>ENV 3070: Agroecology</t>
  </si>
  <si>
    <t>viewcontent.pdf</t>
  </si>
  <si>
    <t>"Use of generative AI tools (e.g. ChatGPT) is allowed. For each written assignment where generative AI is employed, you must include a cover letter describing what tool(s) you used, how you used it, why it was useful, and any shortcomings or limitations you encountered."</t>
  </si>
  <si>
    <t>NYC-038</t>
  </si>
  <si>
    <t>CUNY — Course 3</t>
  </si>
  <si>
    <t>Psychology 32: Human Growth and Development</t>
  </si>
  <si>
    <t>Psych32.pdf</t>
  </si>
  <si>
    <t>"The use of generative AI tools is permitted in this course for the following activities: Brainstorming and researching; Drafting an outline; Organizing your thoughts; Checking grammar. Please cite the AI tool you use, if used. Please share the date of access and the specific prompt or query you used to generate the output received by AI"</t>
  </si>
  <si>
    <t>NYC-039</t>
  </si>
  <si>
    <t>CUNY — Course 4</t>
  </si>
  <si>
    <t>BBA 313: Foundations of Entrepreneurship</t>
  </si>
  <si>
    <t>BBA 313 - Foundations of Entrepreneurship.pdf</t>
  </si>
  <si>
    <t>"The syllabus references CUNY’s updated academic integrity policy addressing GenAI tools such as ChatGPT and Copilot."</t>
  </si>
  <si>
    <t>NYC-040</t>
  </si>
  <si>
    <t>CUNY — Course 5</t>
  </si>
  <si>
    <t>FNES 722 EXERCISE, ENERGY BALANCE, AND BODY
COMPOSITION</t>
  </si>
  <si>
    <t>FNES 722 EXERCISE ENERGY BALANCE AND BODY COMPOSITION.pdf</t>
  </si>
  <si>
    <t>“Using artificial intelligence tools to generate content for assignments or exams, including but not limited to language models or code generators, without written authorization from the instructor.”</t>
  </si>
  <si>
    <t>Coder Agreement (Initials if agree and Comment if disagree)</t>
  </si>
  <si>
    <t>US Federal (White House)</t>
  </si>
  <si>
    <t>National Policy Framework for Artificial Intelligence</t>
  </si>
  <si>
    <t>https://www.whitehouse.gov/wp-content/uploads/2026/03/03.20.26-National-Policy-Framework-for-Artificial-Intelligence-Legislative-Recommendations.pdf</t>
  </si>
  <si>
    <t>Whole community</t>
  </si>
  <si>
    <t>“The federal government must establish a federal AI policy framework to protect American rights, support innovation, and prevent a fragmented patchwork of state regulations.”</t>
  </si>
  <si>
    <t xml:space="preserve">Executive Order: Eliminating State Law Obstruction of National AI Policy
</t>
  </si>
  <si>
    <t>https://www.whitehouse.gov/presidential-actions/2025/12/eliminating-state-law-obstruction-of-national-artificial-intelligence-policy/</t>
  </si>
  <si>
    <t xml:space="preserve"> It is the policy of the United States to sustain and enhance the United States’ global AI dominance through a minimally burdensome national policy framework for AI. </t>
  </si>
  <si>
    <t>ACUS (Administrative Conference of the United States)</t>
  </si>
  <si>
    <t xml:space="preserve">ACUS Policy on Use of Generative AI </t>
  </si>
  <si>
    <t>Law/Regulation</t>
  </si>
  <si>
    <t>https://www.acus.gov/sites/default/files/documents/ACUS_Policy_on_Use_of_GenAI-20251210.pdf</t>
  </si>
  <si>
    <t>Federal employees must disclose GenAI use and must not input sensitive or confidential information into public AI tools</t>
  </si>
  <si>
    <t xml:space="preserve">Advancing Artificial Intelligence Education for American Youth </t>
  </si>
  <si>
    <t>https://www.whitehouse.gov/presidential-actions/2025/04/advancing-artificial-intelligence-education-for-american-youth/</t>
  </si>
  <si>
    <t>“It is the policy of the United States to promote AI literacy and proficiency among Americans by promoting the appropriate integration of AI into education, providing comprehensive AI training for educators, and fostering early exposure to AI concepts and technology to develop an AI-ready workforce and the next generation of American AI innovators.”</t>
  </si>
  <si>
    <t xml:space="preserve">Ensuring a National Policy Framework for AI </t>
  </si>
  <si>
    <t>“United States AI companies must be free to innovate without cumbersome regulation.”</t>
  </si>
  <si>
    <t>City/Territory</t>
  </si>
  <si>
    <t>NYC — Office of Technology and Innovation (OTI)</t>
  </si>
  <si>
    <t>OTI</t>
  </si>
  <si>
    <t>30/2/2025</t>
  </si>
  <si>
    <t>New York City — Office of Technology and Innovation (OTI), Strategic Initiatives Division</t>
  </si>
  <si>
    <t>Preliminary Use Guidance: Generative Artificial Intelligence</t>
  </si>
  <si>
    <t>https://www.nyc.gov/assets/oti/downloads/pdf/about/preliminary-use-guidance-general-artificial-intelligence.pdf</t>
  </si>
  <si>
    <t>In order to support critical engagement by end users and maintain public trust in city government, it is best practice to proactively disclose the use of Generative AI in all contexts</t>
  </si>
  <si>
    <t>NYC Office of Technology and Innovation</t>
  </si>
  <si>
    <t>NYC Artificial Intelligence Action Plan</t>
  </si>
  <si>
    <t>https://www.nyc.gov/assets/oti/downloads/pdf/reports/artificial-intelligence-action-plan.pdf</t>
  </si>
  <si>
    <t>“The NYC AI Action Plan introduces seven new initiatives… toward harnessing the power of AI to deliver positive outcomes for New Yorkers, while carefully mitigating the risks these technologies present.”</t>
  </si>
  <si>
    <t>NYC AI Action Plan Annual Progress Report - 2025</t>
  </si>
  <si>
    <t>https://www.nyc.gov/assets/oti/downloads/pdf/AI-Action-Plan-Progress-Report-Year-2.pdf</t>
  </si>
  <si>
    <t>None stated</t>
  </si>
  <si>
    <t>“The Action Plan included 37 actions across seven initiatives focused on supporting city agencies’ efforts to understand and use AI tools, fostering appropriate governance across the city…”</t>
  </si>
  <si>
    <t>NYC Public Schools</t>
  </si>
  <si>
    <t>NYCPS</t>
  </si>
  <si>
    <t>NYC Public Schools (NYCPS) AI Guidance</t>
  </si>
  <si>
    <t>https://www.schools.nyc.gov/about-us/vision-and-mission/artificial-intelligence/guidance-on-artificial-intelligence-full</t>
  </si>
  <si>
    <t>Hybrid</t>
  </si>
  <si>
    <t>“The NYCPS Traffic Light Approach… establishes when AI use is prohibited, when AI use requires careful consideration and judgment, and when AI is approved for use.”</t>
  </si>
  <si>
    <t>NYU Information Technology AI Primer</t>
  </si>
  <si>
    <t>https://www.nyu.edu/life/information-technology/artificial-intelligence-at-nyu/primer.html</t>
  </si>
  <si>
    <t xml:space="preserve">While the models are immensely powerful tools, they require careful integration, governance, and human oversight to manage issues like bias, misinformation (hallucinations), and intellectual property, ensuring their power is used responsibly.
</t>
  </si>
  <si>
    <t>Student Learning with Generative AI</t>
  </si>
  <si>
    <t>https://www.nyu.edu/faculty/teaching-and-learning-resources/Student-Learning-with-Generative-AI.html</t>
  </si>
  <si>
    <t>Institution-mandated</t>
  </si>
  <si>
    <t>Students and Faculty</t>
  </si>
  <si>
    <t>Students and faculty may use AI tools for learning and research; they should understand how AI works, evaluate outputs critically, and cite AI use where appropriate</t>
  </si>
  <si>
    <t>Adapting Assignments to Generative AI</t>
  </si>
  <si>
    <t>https://www.nyu.edu/faculty/teaching-and-learning-resources/teaching-with-generative-tools/adapting-assignments-to-generative-AI.html</t>
  </si>
  <si>
    <t>Frequently Asked Questions About Teaching and AI</t>
  </si>
  <si>
    <t>NYU AI Center of Excellence</t>
  </si>
  <si>
    <t>https://www.nyu.edu/life/information-technology/artificial-intelligence-at-nyu/coe.html</t>
  </si>
  <si>
    <t>“New York University is strategically investing in AI to gain significant administrative efficiencies, accelerate cutting-edge research, and equip our entire community—faculty, students, and staff—with the tools to thrive in an AI-driven world.”</t>
  </si>
  <si>
    <t>City University of New York</t>
  </si>
  <si>
    <t>CUNY AI Academic Hub</t>
  </si>
  <si>
    <t>Teach@CUNY AI Toolkit</t>
  </si>
  <si>
    <t>https://aitoolkit.commons.gc.cuny.edu/</t>
  </si>
  <si>
    <t>“This toolkit offers guidelines and resources to help instructors support students as we all learn to navigate a world increasingly awash in AI.”</t>
  </si>
  <si>
    <t>CUNY Central Academic Integrity Policy</t>
  </si>
  <si>
    <t>https://www.cuny.edu/about/administration/offices/legal-affairs/policies-resources/academic-integrity-policy/</t>
  </si>
  <si>
    <t>“Any use of generative AI tools must be in line with the usage policy for specific assignments as defined in the course of the syllabus and/or communicated by the course instructor.”</t>
  </si>
  <si>
    <t>“The Teaching and Learning Center developed this resource to help faculty explore the intersection of AI and education.”</t>
  </si>
  <si>
    <t>City University of New York | CUNY Central Office / CUNY Innovative Teaching Academy</t>
  </si>
  <si>
    <t>Teaching with AI: Disciplinary Toolkits</t>
  </si>
  <si>
    <t>2024-2025</t>
  </si>
  <si>
    <t>https://www.cuny.edu/academics/faculty-affairs/faculty-hub/cuny-innovative-teaching-academy/building-bridges-of-knowledge-bbk/#1743443301057-e01b194c-474d</t>
  </si>
  <si>
    <t>“Building Bridge of Knowledge (BBK) is a CUNY-wide faculty fellowship project, aiming to help students use generative artificial intelligence (AI) tools ethically, responsibly, and effectively.”</t>
  </si>
  <si>
    <t>Columbia University / Office of the Provost</t>
  </si>
  <si>
    <t>Office of the Provost: Generative AI Policy &amp; Guidance (2024-2026)</t>
  </si>
  <si>
    <t>https://provost.columbia.edu/content/generative-ai</t>
  </si>
  <si>
    <t>“Columbia recognizes that generative AI is a tool that is transforming higher education and society, and encourages our campus community to explore its possibilities while being mindful of the potential security and privacy risks that it poses.”</t>
  </si>
  <si>
    <t>Columbia University Information Technology / Emerging Technologies</t>
  </si>
  <si>
    <t>Best Practices for Responsible AI Use</t>
  </si>
  <si>
    <t>CUIT’s guidance is designed to help the Columbia community benefit from AI while avoiding common failure points, particularly when institutional or sensitive data is involved.
At the center of the guidance is one principle:
AI should assist human judgment, not replace i</t>
  </si>
  <si>
    <t>Columbia CTL AI Guidelines (2024-2026)</t>
  </si>
  <si>
    <t>https://ctl.columbia.edu/resources-and-technology/resources/academic-integrity/</t>
  </si>
  <si>
    <t>“The possible advantages that might present in the teaching-learning process should be under the control of each instructor since they know exactly what they expect from students’ work.”</t>
  </si>
  <si>
    <t>CUIT AI Framework Policy</t>
  </si>
  <si>
    <t>https://www.cuit.columbia.edu/sites/www.cuit.columbia.edu/files/content/CUIT%20Website%20Pages/AI%20Framework%20%20(1).pdf</t>
  </si>
  <si>
    <t>“A key tenet of the framework is governance — ensuring that all AI initiatives adhere to security, privacy, and compliance requirements from the outset.”</t>
  </si>
  <si>
    <t>CUIT Generative AI Data Security Guidelines</t>
  </si>
  <si>
    <t>https://www.cuit.columbia.edu/content/ai-services</t>
  </si>
  <si>
    <t>“For work involving non-public data, Columbia IT maintains a set of enterprise-grade AI tools — including Columbia ChatGPT Education, CHAT, and Google for Education — that operate within a secured environment sometimes called a ‘walled garden.’”</t>
  </si>
  <si>
    <t>Faculty/Department</t>
  </si>
  <si>
    <t>New York University - Steinhardt</t>
  </si>
  <si>
    <t>NYU Steinhardt - Academic Integrity and Syllabus Support in the Age of Generative AI</t>
  </si>
  <si>
    <t>Faculty/Dept decides</t>
  </si>
  <si>
    <t>“Any AI-generated content used in assignments must be properly attributed.”</t>
  </si>
  <si>
    <t>New York University - CAS</t>
  </si>
  <si>
    <t>CAS - Expository Writing Program (EWP) Statement on AI (2026)</t>
  </si>
  <si>
    <t>https://cas.nyu.edu/ewp/about/statement-on-generative-ai.html</t>
  </si>
  <si>
    <t>No EWP class permits students to use AI-generated writing unless it is clearly identified as an object for analysis</t>
  </si>
  <si>
    <t>Academic Integrity - Tisch</t>
  </si>
  <si>
    <t>Generative AI Updates – Live Syllabus and Faculty Development Resources</t>
  </si>
  <si>
    <t>https://wp.nyu.edu/fas-edtech/2024/01/generative-ai-updates-live-syllabus-and-faculty-development-resources/</t>
  </si>
  <si>
    <t>“Whatever your approach, clear communication with students about your expectations and your justification for your generative AI use policies should be on your beginning of the semester agenda.”</t>
  </si>
  <si>
    <t>Generative AI Resources for Faculty - NYU Arts and Sciences</t>
  </si>
  <si>
    <t>https://as.nyu.edu/academics/teaching-excellence-and-innovation/services/course-support/genai-resources.html</t>
  </si>
  <si>
    <t>“The materials on this page are a regularly updated collection of the advice and resources our team shares with instructors and departments about AI and teaching and learning.”</t>
  </si>
  <si>
    <t>CUNY - Baruch College</t>
  </si>
  <si>
    <t>CUNY - John Jay College of Criminal Justice</t>
  </si>
  <si>
    <t>AI Responsible Use Guidelines</t>
  </si>
  <si>
    <t>https://www.jjay.cuny.edu/about/senior-leadership/academic-affairs/office-provost/ai-policies-guidelines</t>
  </si>
  <si>
    <t xml:space="preserve">Generative AI is a powerful tool for research and scholarship, and its effective use is becoming an essential workplace skill. We believe that fostering AI literacy across all disciplines is an extension of our mission to prepare students for meaningful careers and ethical leadership within the justice system and beyond.
</t>
  </si>
  <si>
    <t>There are 3 documents, For Everyone, For Student and For Faculty. All of them were considered in this coding</t>
  </si>
  <si>
    <t>CUNY - LaGuardia</t>
  </si>
  <si>
    <t xml:space="preserve">Teaching Writing at LaGuardia Generative AI Guidance.
</t>
  </si>
  <si>
    <t>https://lagccwriting.commons.gc.cuny.edu/gen-ai-guidance/</t>
  </si>
  <si>
    <t>Please include a statement on your syllabus which indicates your policy about student use of AI in your class. Please also verbally reinforce this policy with students throughout the semester.
Right now, the Department does not have a uniform policy. To help you decide on your policy, here are some guiding resources:</t>
  </si>
  <si>
    <t>CUNY - City Tech</t>
  </si>
  <si>
    <t>City Tech Artificial Intelligence Guidance</t>
  </si>
  <si>
    <t>https://www.citytech.cuny.edu/ai/ai-guidance.aspx</t>
  </si>
  <si>
    <t>City Tech recognizes the rapid evolution of Artificial Intelligence (AI) and its impact on how we work, teach and learn. As the landscape of AI changes, and Generative AI tools become widely available for everyday use, new opportunities in higher education are realized, but also present new risks that must be taken into consideration when using these technologies. We encourage you to experiment with AI tools, but also consider the following guidelines which align with existing CUNY and City Tech policies on information security and academic integrity. Please consider the guidelines in conjunction with other CUNY recommendations and policies.</t>
  </si>
  <si>
    <t>CUNY - Queens College</t>
  </si>
  <si>
    <t xml:space="preserve">Currently, there is no specific CUNY or QC policy on the use of artificial intelligence in the classroom outside of mentions of AI in the CUNY Academic Integrity Policy. This means that, as instructors, we have a lot of flexibility and responsibility to consider how and when the use of generative AI is acceptable in our classes to clearly communicate these parameters to our students as we prepare them for the integration of these technologies in work and life. </t>
  </si>
  <si>
    <t>TC Guidance - Developing a Generative AI Policy for Your Course</t>
  </si>
  <si>
    <t>Columbia Law School</t>
  </si>
  <si>
    <t>Columbia Law School Interim Policy on Generative AI</t>
  </si>
  <si>
    <t>https://www.law.columbia.edu/academics/registration-services/resources/columbia-law-school-interim-policy-generative-ai</t>
  </si>
  <si>
    <t xml:space="preserve">Generative AI includes any machine-based tool designed to help write, rewrite, or restructure language from user questions and prompts. Prohibited tools include, for example, Bard, ChatGPT, Gemini, Grok, along with embedded tools in programs such as Grammarly or Microsoft Copilot. Generative AI is distinct from software that helps search for and extract information from data sources for use in research. (...) 
Use of Generative AI is prohibited in (a) any exam or final paper or (b) for aid in drafting any part of work submitted for credit, even if the use is fully documented. 
The Law School and University Generative AI policies are default rules. This means individual instructors can, and indeed are encouraged to, tailor their own more permissive policies, so long as their policies are stated in writing in the syllabus.
</t>
  </si>
  <si>
    <t>Columbia Business School</t>
  </si>
  <si>
    <t xml:space="preserve">Columbia Business School - Getting Started with Generative Artificial Intelligence
</t>
  </si>
  <si>
    <t>https://business.columbia.edu/samberg/ai/ai-basics</t>
  </si>
  <si>
    <t>“Generative AI is a powerful tool capable of creating innovative solutions, automating repetitive tasks, and enhancing productivity.”</t>
  </si>
  <si>
    <t>Center for Teaching and Learning (CTL)</t>
  </si>
  <si>
    <t xml:space="preserve">Center for Teaching and Learning (CTL) - Developing AI Syllabus Statements and Communicating with Students about AI
</t>
  </si>
  <si>
    <t>https://ai.ctl.columbia.edu/explore/ai-syllabus-statement/</t>
  </si>
  <si>
    <t>“Since instructors and academic departments have the ability to develop their own AI course policies, students may encounter different guidelines across their courses.”</t>
  </si>
  <si>
    <t>Columbia University Irving Medical Center</t>
  </si>
  <si>
    <t>AI and Generative Technology Use at CUIMC</t>
  </si>
  <si>
    <t>https://www.it.cuimc.columbia.edu/ai-and-generative-technology-use-cuimc</t>
  </si>
  <si>
    <t>“All use of AI, Large Language Models (LLM), Natural Language processors (NLP) or Machine Learning (ML) systems at the Medical Center must comply with HIPAA and other relevant healthcare and IT regulations.”</t>
  </si>
  <si>
    <t>NYC-041</t>
  </si>
  <si>
    <t>NYU Stern</t>
  </si>
  <si>
    <t>Global Strategy (Stern School of Business) Global Strategy Syllabus</t>
  </si>
  <si>
    <t>https://web-apps-shib.stern.nyu.edu/syllabi/static/syllabusfiles/MGMT-GB.2340_10_F2025.pdf</t>
  </si>
  <si>
    <t xml:space="preserve">In this course, students are not allowed to use advanced automated tools (artificial intelligence or machine learning tools) on any component of this course. (...) When you are doing research for your final project, please make sure you use credible resources that are not generated by AI. If any part of your assignment(s) are produced by AI, I will ask you to redo that section or the assignment. I will not grade or provide feedback on an AI generated text. </t>
  </si>
  <si>
    <t>NYC-042</t>
  </si>
  <si>
    <t>Leadership (Stern School of Business - FT MBA) Leadership MBA Syllabus</t>
  </si>
  <si>
    <t>https://web-apps-shib.stern.nyu.edu/syllabi/static/syllabusfiles/COR1-GB.1102_02_F2025.pdf</t>
  </si>
  <si>
    <t>You can only learn from work you actually do. Unless otherwise stated, you should not use generative AI tools to create any part of an assignment in this course; every submission should be entirely your work.</t>
  </si>
  <si>
    <t>NYC-043</t>
  </si>
  <si>
    <t>NYU College of Arts &amp; Sciences</t>
  </si>
  <si>
    <t>Texts and Ideas: CORE-UA 400 070 (College of Arts &amp; Science) Texts and Ideas Syllabus</t>
  </si>
  <si>
    <t>https://cas.nyu.edu/content/dam/nyu-as/casCore/documents/syllabifall2025/BARBIERO%20SYLLABUS%202025%20-%20Copy%20%281%29.pdf</t>
  </si>
  <si>
    <t>As with any other class work generated by anyone other than the students, whether by other students or by a company, use of AI in this class, unless specifically permitted, will be considered a violation of NYU’s Academic Integrity policy and will be dealt with accordingly.</t>
  </si>
  <si>
    <t>NYC-044</t>
  </si>
  <si>
    <t xml:space="preserve">Environmental Justice &amp; Inequality </t>
  </si>
  <si>
    <t>Spring 2025</t>
  </si>
  <si>
    <t>https://as.nyu.edu/content/dam/nyu-as/environment/documents/Syllabi/spring-2025/Environmental%20Justice%20syllabus%202025%20-%20Colin%20Jerolmack.pdf</t>
  </si>
  <si>
    <t>“Presenting writing or data generated by someone else, or by software/Artificial Intelligence, as one’s own is a serious offense.”</t>
  </si>
  <si>
    <t>NYC-045</t>
  </si>
  <si>
    <t>Writing Program Course Syllabus (College of Arts &amp; Science) FAS Writing Syllabus: “Language as a Site of Protest: Poetry &amp; Prose of the Political Imagination”</t>
  </si>
  <si>
    <t>https://as.nyu.edu/content/dam/nyu-as/cwp/documents/introsyllabi/fall2025syllabi/NYU%20Syllabus,%20Fall%202025%20-%20GDC-9.pdf</t>
  </si>
  <si>
    <t>“Plagiarism will be reported to the department, without exception. This includes the use of AI.”</t>
  </si>
  <si>
    <t>NYC-046</t>
  </si>
  <si>
    <t>CUNY - Lemann College</t>
  </si>
  <si>
    <t>English 111: Composition I Course Syllabus</t>
  </si>
  <si>
    <t>https://academicworks.cuny.edu/cgi/viewcontent.cgi?article=1112&amp;context=le_oers</t>
  </si>
  <si>
    <t>While AI and Chat GPT is the future, it is not a valid resource for this class. As we will discuss, any time you are creating an assignment it must be in your own words. 
The use of AI, ChatGPT, etc. presenting as your own work that you yourself have not written will be considered plagiarism</t>
  </si>
  <si>
    <t>NYC-047</t>
  </si>
  <si>
    <t xml:space="preserve">CUNY - City College </t>
  </si>
  <si>
    <t>MCA 10100: Introduction to Mass Media OER/ZTC Syllabus</t>
  </si>
  <si>
    <t>https://academicworks.cuny.edu/cgi/viewcontent.cgi?article=1583&amp;context=cc_oers</t>
  </si>
  <si>
    <t>As such, while using some programs of sites with AI features to do simple things like correct grammar or edit work is permissible, using generative AI programs like ChatGPT to write assignments for yourself will be considered an act of turning in work that is not your own and violate academic honesty guidelines.</t>
  </si>
  <si>
    <t>NYC-048</t>
  </si>
  <si>
    <t xml:space="preserve">CUNY - York College </t>
  </si>
  <si>
    <t>Digital Cultures, DEI, and AI: Critical Analysis Assignment &amp; Curriculum</t>
  </si>
  <si>
    <t>https://academicworks.cuny.edu/cgi/viewcontent.cgi?article=1094&amp;context=jj_oers</t>
  </si>
  <si>
    <t>Students may use AI tools only for: brainstorming, outlining, or organizing ideas.
AI tools may not replace original thinking or writing.
If AI is used, students must include a brief AI Use Disclosure Statement explaining: which tool was used,  how it was used, and how authorship decisions remained human-directed</t>
  </si>
  <si>
    <t>NYC-049</t>
  </si>
  <si>
    <t>Queens College — FNES 722 (Exercise, Energy Balance, and Body Composition)</t>
  </si>
  <si>
    <t>https://academicworks.cuny.edu/cgi/viewcontent.cgi?article=1117&amp;context=qc_oers</t>
  </si>
  <si>
    <t>Cheating is the unauthorized use or attempted use of material, information, notes, study aids, devices, artificial intelligence (AI) systems, or communication during an academic exercise and will result in a grade of a “0” on the assignment and may result in disciplinary action from the department/University.</t>
  </si>
  <si>
    <t>NYC-050</t>
  </si>
  <si>
    <t>Baruch College — ENV 3070 (Agroecology)</t>
  </si>
  <si>
    <t>https://academicworks.cuny.edu/cgi/viewcontent.cgi?article=1129&amp;context=bb_oers</t>
  </si>
  <si>
    <t>Use of generative AI tools (e.g. ChatGPT) is allowed. For each written assignment where generative AI is employed, you must include a cover letter describing what tool(s) you used, how you used it, why it was useful, and any shortcomings or limitations you encountered</t>
  </si>
  <si>
    <t>NYC-051</t>
  </si>
  <si>
    <t>PSYC UN 3620: Developmental Psychopathology</t>
  </si>
  <si>
    <t>https://psychology.columbia.edu/sites/psychology.columbia.edu/files/content/PSYC%203620%20Syllabus%20Fall2024.pdf</t>
  </si>
  <si>
    <t>While you are welcome to use generative AI tools in this class when doing so aligns with the
course objectives, please be advised of the following (...)
Remember, AI is not likely to generate a response that would be seen as quality work, and
should be modified, personalized, and always properly cited.</t>
  </si>
  <si>
    <t>NYC-052</t>
  </si>
  <si>
    <t>COMS 3261: Computer Science Theory</t>
  </si>
  <si>
    <t>https://www.cs.columbia.edu/~josh/cs-theory/</t>
  </si>
  <si>
    <t>It is also prohibited to use generative AI tools like ChatGPT while working on homeworks. (Even if it were not prohibited, these tools typically give incorrect and confusing solutions to the types of problems we will see in this class. In fact, in this class, we will give a mathematical explanation for this phenomenon!)</t>
  </si>
  <si>
    <t>NYC-053</t>
  </si>
  <si>
    <t>NSBV BC3392: Psychobiology of Stress</t>
  </si>
  <si>
    <t xml:space="preserve">Fall 2024 </t>
  </si>
  <si>
    <t>https://psychology.columbia.edu/sites/psychology.columbia.edu/files/content/Syllabus%20Psychobiology%20of%20Stress%20FA24.pdf</t>
  </si>
  <si>
    <t>Submitting work that is generated by AI is not acceptable. There are no shortcuts when it comes to learning how
to write about and present your own research. Instead, you are expected to put in the time and effort required to
create your own work, which will not only demonstrate your understanding of your research topic, but also your
ability to think critically and creatively. Students are expected to take responsibility for their work to ensure that
it is original and well-researched.</t>
  </si>
  <si>
    <t>NYC-054</t>
  </si>
  <si>
    <t>PSYC UN 2235: Thinking and Decision Making</t>
  </si>
  <si>
    <t>Spring 2024</t>
  </si>
  <si>
    <t>https://psychology.columbia.edu/sites/psychology.columbia.edu/files/content/UN2235%20Syllabus%20for%20Spring%202024%20KFG.pdf</t>
  </si>
  <si>
    <t>Generative AI tools like ChatGPT and Bard can do a lot of heavy lifting in academic contexts. Such tools aren’t inherently good or bad—it’s all up to how you use them. 
Ultimately, the ideas and words you share in class and in your written work for this course should all be your own. 
In presentations, although you’re welcome to seek AI help in the aesthetics of your slides, the words presented in them should be your own. 
And in your policy paper and final papers, it’s fine to get AI help with editing, but the ideas on the page need to have been produced by you alone</t>
  </si>
  <si>
    <t>NYC-055</t>
  </si>
  <si>
    <t>https://www.cs.columbia.edu/~johnhew/coms4705/index.html</t>
  </si>
  <si>
    <t>AI tools (e.g., ChatGPT, Cursor, Claude Code) are fully allowed for Assignments 1–4. While I recommend doing the assignments on your own (or with minimal AI hints) as prep for exams, you may use AI to fully solve them if you wish. 
It is your responsibility to ensure that submitted code and math are correct.</t>
  </si>
  <si>
    <t>Hong Kong Coding — GenAI Policy Coding</t>
  </si>
  <si>
    <t>Fill one row per policy document. Use dropdowns wherever possible. See tab '5_Codebook' for definitions.</t>
  </si>
  <si>
    <t>No AI (teaching content is not AI policy)</t>
  </si>
  <si>
    <t>HK-001</t>
  </si>
  <si>
    <t>Hong Kong</t>
  </si>
  <si>
    <t>Central Government of the PRC (recorded by HKSAR Policy Address)</t>
  </si>
  <si>
    <t>Factsheets on “Outline of the 14th Five-Year Plan for National Economic and Social Development of the People’s Republic of China and the Long-Range Objectives Through the Year 2035”</t>
  </si>
  <si>
    <t>https://www.policyaddress.gov.hk/2021/eng/pdf/publications/14-5/14-5-full.pdf</t>
  </si>
  <si>
    <t>National Development Strategy: "..implement a batch of forward-looking and strategic national technological programmes focusing on frontier fields, including artificial intelligence,,,"
Central Government's Support for Hong Kong: "...support Hong Kong to develop into an international innovation and technology hub..."
Promote the I&amp;T development at full steam with new thinking, integrate into the overall development of the country and the Greater Bay Area (“GBA”)</t>
  </si>
  <si>
    <t>Due to "One Country, Two Systems", China laws/regulations do not directly affect Hong Kong.
This national directive serves as the foundational mandate to develop Hong Kong into an international Innovation and Technology hub.</t>
  </si>
  <si>
    <t>HK-002</t>
  </si>
  <si>
    <t>The State Council of the People's Republic of China</t>
  </si>
  <si>
    <t>"AI Plus" guidelines (Chinese)</t>
  </si>
  <si>
    <t>https://www.mee.gov.cn/zcwj/gwywj/202508/t20250827_1126207.shtml</t>
  </si>
  <si>
    <t>推行更富成效的学习方式。把人工智能融入教育教学全要素、全过程，创新智能学伴、智能教师等人机协同教育教学新模式，推动育人从知识传授为重向能力提升为本转变，加快实现大规模因材施教，提高教育质量，促进教育公平。构建智能化情景交互学习模式，推动开展方式更灵活、资源更丰富的自主学习。鼓励和支持全民积极学习人工智能新知识、新技术。
(Promote more effective learning methods. Integrate artificial intelligence into every element and stage of education and instruction; pioneer new human-machine collaborative models—such as intelligent learning companions and AI teachers—to drive a shift in pedagogy from a primary focus on knowledge transmission to one centered on capability enhancement; accelerate the realization of personalized instruction on a large scale; improve educational quality; and foster educational equity. Establish intelligent, context-aware interactive learning models to facilitate self-directed learning characterized by greater flexibility and richer resources. Encourage and support the entire populace in actively acquiring new knowledge and technologies related to artificial intelligence.)</t>
  </si>
  <si>
    <t>really postive with ai,from top tto down</t>
  </si>
  <si>
    <t>HK-003</t>
  </si>
  <si>
    <t>HKSAR Digital Policy Office</t>
  </si>
  <si>
    <t>Ethical Artificial Intelligence Framework</t>
  </si>
  <si>
    <t>https://www.digitalpolicy.gov.hk/en/our_work/data_governance/policies_standards/ethical_ai_framework/doc/Ethical_AI_Framework_en.pdf</t>
  </si>
  <si>
    <t>The adoption of Ethical AI Framework is a step that establishes a common approach and structure to govern the development and deployment of AI applications with the intention to maximise the benefits of the application of AI in IT projects (...)</t>
  </si>
  <si>
    <t>detail in deep so can tell hksar really hyposis  to manifest ai in  different senaioro</t>
  </si>
  <si>
    <t>HK-004</t>
  </si>
  <si>
    <t>Hong Kong Generative Artificial Intelligence Technical and Application Guideline</t>
  </si>
  <si>
    <t>https://www.digitalpolicy.gov.hk/en/our_work/data_governance/policies_standards/ethical_ai_framework/doc/HK_Generative_AI_Technical_and_Application_Guideline_en.pdf</t>
  </si>
  <si>
    <t>"The Guideline aims to ensure the timely communication of governance developments and the sharing of best practices. It aims to balance innovation with social responsibility in the development of generative AI in Hong Kong, thereby maximising the benefits of technological advancement and minimising associated risks. "</t>
  </si>
  <si>
    <t>HK-005</t>
  </si>
  <si>
    <t>HKSAR Innovation, Technology and Industry Bureau</t>
  </si>
  <si>
    <t>Hong Kong Innovation and Technology Development Blueprint</t>
  </si>
  <si>
    <t>https://www.itib.gov.hk/en/publications/I&amp;T%20Blueprint%20Book_EN_single_Digital.pdf</t>
  </si>
  <si>
    <t>In the coming five years, the Government’s target is that 35% of the UGC-funded students will be studying subjects related to science, technology, engineering, arts and mathematics and 60% will be studying subjects relevant to Hong Kong’s development into the “eight centres/hubs” as stated in the 14th Five-Year Plan. The Government will also continue to encourage universities to offer more programmes related to science, technology, engineering, arts and mathematics.</t>
  </si>
  <si>
    <t>HK-006</t>
  </si>
  <si>
    <t>University Grants Committee (UGC)</t>
  </si>
  <si>
    <t>UGC establishes Fund for Innovative Technology-in-Education</t>
  </si>
  <si>
    <t>https://www.ugc.edu.hk/eng/ugc/about/press_speech_other/press/2023/pr20230628.html</t>
  </si>
  <si>
    <t>Researchers</t>
  </si>
  <si>
    <t>The University Grants Committee (UGC), with support from its Quality Assurance Council (QAC), today (June 28) announced the launch of the Fund for Innovative Technology-in-Education (FITE) with a funding allocation of $100 million.
"While it is widely acknowledged that digital competency plays a significant role in economic restructuring, there is also growing awareness of the ethical and social issues arising from the use of innovative technologies. In response to these changes, the UGC, with support from the QAC, launched the FITE to support experimental and exploratory endeavours of universities in enhancing their teaching and learning."</t>
  </si>
  <si>
    <t>HK-007</t>
  </si>
  <si>
    <t>news.gov.hk</t>
  </si>
  <si>
    <t>Cultivating AI innovation on campus</t>
  </si>
  <si>
    <t>https://www.news.gov.hk/eng/2026/04/20260424/20260424_152830_500.html</t>
  </si>
  <si>
    <t>the 2026-27 Budget proposed $50 million to fuel a city-wide AI culture - supporting public bodies, technology companies and tertiary institutions in hosting courses and competitions as part of a roadmap to integrate AI education into everyday life.</t>
  </si>
  <si>
    <t>HK-008</t>
  </si>
  <si>
    <t>Legislative Council Panel on Education</t>
  </si>
  <si>
    <t>Major Policy Initiatives of the Education Bureau in 2026</t>
  </si>
  <si>
    <t>https://www.legco.gov.hk/yr2026/english/panels/ed/papers/ed20260127cb3-24-1-e.pdf</t>
  </si>
  <si>
    <t>The EDB has earmarked $2 billion under the Quality Education Fund (QEF) to implement digital education development measures. Approximately $500 million of this amount will be allocated to the three-year 'AI for Empowering Learning and Teaching Funding Programme'</t>
  </si>
  <si>
    <t>HK-009</t>
  </si>
  <si>
    <t>AI Education
UGC HKTEA AI CoP</t>
  </si>
  <si>
    <t>About Us</t>
  </si>
  <si>
    <t>https://aicop.hktea.hku.hk/about-us</t>
  </si>
  <si>
    <t>supported by the Hong Kong University Grants Committee (UGC). It aims to bring together educators, administrators, and experts from Hong Kong’s higher education and school sectors, as well as those from HEIs around the world, to drive innovative implementation, share best practices, and strategize for the age of generative AI (GenAI).</t>
  </si>
  <si>
    <t>Not about rule enforcement</t>
  </si>
  <si>
    <t>HK-010</t>
  </si>
  <si>
    <t>HKU Teaching and Learning Innovation Centre</t>
  </si>
  <si>
    <t>HKU</t>
  </si>
  <si>
    <t>HKU GenAI Services</t>
  </si>
  <si>
    <t>https://tl.hku.hk/genai/hku-genai-services/</t>
  </si>
  <si>
    <t>for staff and students to prepare for the future and reap benefits from the immense potential AI has to offer. Limited to teaching, learning, work and research-related purposes only, these AI assistants can help users resolve queries and assist in tasks.</t>
  </si>
  <si>
    <t>HK-011</t>
  </si>
  <si>
    <t>HKU Libraries</t>
  </si>
  <si>
    <t>AI Literacy - LibGuides at HKU</t>
  </si>
  <si>
    <t>https://libguides.lib.hku.hk/AI-literacy/Home</t>
  </si>
  <si>
    <t>This guide with curated learning resources aims to help HKU students and staff 1) deepen their understanding of AI, 2) learn about some Generative AI (GenAI) tools or AI-empowered tools that can enhance their learning and research experience, and 3) make individual decisions on selecting appropriate AI tools based on their own learning and research needs.</t>
  </si>
  <si>
    <t>HK-012</t>
  </si>
  <si>
    <t>HKU (TaLiC)</t>
  </si>
  <si>
    <t>Academic Integrity and University-wide Core Principles for Using AI</t>
  </si>
  <si>
    <t>https://talic.hku.hk/innovation/ai-ethics/core-principles/</t>
  </si>
  <si>
    <t>Teachers must be very clear in their guidance to students as to what is acceptable use of AI within the activities of their course and specifically on their assignments intended for assessment. Part of the instructor’s guidance may be to require students to include details on how they have made use of AI when completing a task, but augment that with open dialogue and solicit feedback to help discover the nuances in regulating this new technology. A section in the course syllabus defining allowed and intended uses would provide easy access to such information
Teachers using AI for grading or giving feedback, should clearly communicate to students the purpose and benefits. 
Communication of intent and expectation is paramount. When providing guidance for use of AI in an assignment/assessment, teachers need to consider carefully the course learning outcome(s) intended to be enhanced by a particular assignment.</t>
  </si>
  <si>
    <t>HK-013</t>
  </si>
  <si>
    <t>Policy for AI in Education</t>
  </si>
  <si>
    <t>https://aied.talic.hku.hk/aipolicy/</t>
  </si>
  <si>
    <t>Teachers and course coordinators need to consider if they will include and/or integrate GenAI into assessments and, if so, how to ensure assessments remain authentic and fair.
academic integrity is an issue of concern for staff and students alike</t>
  </si>
  <si>
    <t>HK-014</t>
  </si>
  <si>
    <t>HKU Faculty of Law</t>
  </si>
  <si>
    <t>Guidelines on the Responsible Use of Generative AI in Research at The University of Hong Kong</t>
  </si>
  <si>
    <t>https://researchintegrity.law.hku.hk/guidelines-on-the-responsible-use-of-generative-ai-in-research-at-the-university-of-hong-kong/</t>
  </si>
  <si>
    <t xml:space="preserve">Use of GenAI for ideation and background research is only acceptable if...
Students and assistants should seek approval from their supervisors on plans to use GenAI tools in the research process, and the usage should be well documented. Research students should also declare their use of GenAI tools and specify their usage at the time of thesis submission for examination.
</t>
  </si>
  <si>
    <t>HK-015</t>
  </si>
  <si>
    <t>HKU Research Services</t>
  </si>
  <si>
    <t>Responsible Use of Generative AI in Research at HKU</t>
  </si>
  <si>
    <t>https://www.rss.hku.hk/integrity/generative-ai</t>
  </si>
  <si>
    <t>Clearly disclose GenAI tool usage in research outputs, publications, or presentations, for example the type of GenAI used, data sources, and potential limitations.
Maintain detailed documentation of GenAI prompts, outputs, and decision-making processes involving GenAI.</t>
  </si>
  <si>
    <t>HK-016</t>
  </si>
  <si>
    <t>Artificial Intelligence Literacy I (AILT1001)</t>
  </si>
  <si>
    <t>https://ailt.cds.hku.hk/</t>
  </si>
  <si>
    <t>Cheating: Such as copying or sharing answers, using unauthorized notes, online search engines, or AI tools including ChatGPT or Copilot in quizzes, tests, or other assessments without explicit permission.
Any student found to have committed academic misconduct may receive a failing grade for the affected assessment or the course, be formally reported to the School and their home Faculty, and have a permanent record placed on file. Serious or repeated cases will be referred to the Vice-Chancellor for consideration by the University Disciplinary Committee, where penalties may include a published reprimand, suspension, or expulsion.</t>
  </si>
  <si>
    <t>It is a graduation requirement for undergrad students to pass this course.
Course-wise, it is to promote AI Literacy.
Policy-wise, the statement is to promote academic integrity.</t>
  </si>
  <si>
    <t>HK-017</t>
  </si>
  <si>
    <t>Regulations and Syllabuses
Bachelor of Journalism [BJ]</t>
  </si>
  <si>
    <t>https://web.socsc.hku.hk/wp-content/uploads/2026/03/BJ_2025-26.pdf</t>
  </si>
  <si>
    <t>Artificial Intelligence Literacy Courses (6 credits)
Candidates are required to complete 6 credits of artificial intelligence literacy, comprising two
3-credit microcredential courses:
AILT1001. Artificial Intelligence Literacy I (3 credits)
AILT9017. Digital Literacy Through a Social Sciences Lens* (3 credits)</t>
  </si>
  <si>
    <t>HK-018</t>
  </si>
  <si>
    <t>Regulations and Syllabuses of the Double Degree of BEd and BSc</t>
  </si>
  <si>
    <t>https://www4.hku.hk/pubunit/drcd/files/ugdr2025-26/Education/BEd&amp;BSc.pdf</t>
  </si>
  <si>
    <t>To complete the curriculum, candidates shall ... [complete] 6 credits in artificial intelligence literacy</t>
  </si>
  <si>
    <t>Establishes a graduation requirement but not a usage policy</t>
  </si>
  <si>
    <t>HK-019</t>
  </si>
  <si>
    <t>HKU SPACE</t>
  </si>
  <si>
    <t>Policy on Use of Generative Artificial Intelligence for Teaching and Learning</t>
  </si>
  <si>
    <t>https://hkuspace.hku.hk/news/detail/hku-policy-on-use-of-generative-artificial-intelligence-for-teaching-and-learning</t>
  </si>
  <si>
    <t>Please note that HKU SPACE will follow the University’s policy as per previous announcements from the Deputy Director (Academic Services) on the School’s staff intranet.</t>
  </si>
  <si>
    <t>HKU Space is the self-financing "community colleges" associated with HKU.</t>
  </si>
  <si>
    <t>HK-020</t>
  </si>
  <si>
    <t>GenAI Use Cases Hub</t>
  </si>
  <si>
    <t>https://talic.hku.hk/innovation/ai-cop/hub/teaching-and-learning-application/</t>
  </si>
  <si>
    <t>GenAI Community of Practice (CoP)</t>
  </si>
  <si>
    <t>Repository of ways to use AI for teaching</t>
  </si>
  <si>
    <t>HK-021</t>
  </si>
  <si>
    <t>Lingnan University</t>
  </si>
  <si>
    <t>Lingnan</t>
  </si>
  <si>
    <t>Lingnan’s big plan to advance data literacy</t>
  </si>
  <si>
    <t>https://www.ln.edu.hk/president/chatgpt/index.html</t>
  </si>
  <si>
    <t>Lingnan faculty and students have to be AI literate
they will be able to open up new dimensions in liberal arts education and ensure that each graduating class is multifaceted and future-ready.
we have already purchased the licence for version 3.5 of ChatGPT for the whole university,” Qin says. “We will be training faculty and students to use it and are figuring out new ways to assess assignments and support learning
The big plan to advance data literacy has also been developed to fully support the innovative adoption of generative AI tools in the teaching and learning environment of the University.
professors will have to decide and specify when GPT can and can’t be used for written assignments. And there may be a new requirement for students to submit a list of the “prompts” they gave to get content used in coursework and essays.</t>
  </si>
  <si>
    <t>HK-022</t>
  </si>
  <si>
    <t>Lingnan University - ITSC</t>
  </si>
  <si>
    <t>Generative AI Service</t>
  </si>
  <si>
    <t>https://www.ln.edu.hk/itsc/services/teaching-learning-research-services/generative-ai-service</t>
  </si>
  <si>
    <t xml:space="preserve">Lingnan University fully embraces the use of AI tools in support of its teaching and learning. </t>
  </si>
  <si>
    <t>ChatGPT service building on Microsoft’s Azure Open AI services in July 2023</t>
  </si>
  <si>
    <t>HK-023</t>
  </si>
  <si>
    <t>Guidelines for Using Generative Artificial Intelligence (GAI) Tools at Lingnan University</t>
  </si>
  <si>
    <t>https://www.ln.edu.hk/tlc/f/page/107180/Guidelines%20for%20Using%20GAI%20Tools%20%28Oct%202024%29.pdf</t>
  </si>
  <si>
    <t xml:space="preserve">While Lingnan University enthusiastically embraces innovative technologies in education, it firmly upholds the principle that students must adhere to rigorous standards of academic integrity in all forms of assessments. The following guidelines are designed to help faculty and students ethically integrate GAI tools into their teaching, learning, and assessment practices.
Teaching staff can incorporate GAI into course design, learning activities, assignments, and assessments in line with outcome-based assessment, teaching, and learning principles, and the corresponding Qualifications Framework (QF) level. 
From Term 2, 2024-25, students are allowed to use GAI tools to assist them in preparing assignments, assessments, and other educational practices. 
However, teaching staff may still seek prior approval from the relevant Head of Department/Programme Director NOT to allow students to use GAI tools
Teaching staff should inform students at the beginning of the course, in the syllabus, or in other written formats that GAI tools are not permitted (for use by students). All course syllabi should include an important note regarding the use of GAI tools as set out in the course syllabus template.
</t>
  </si>
  <si>
    <t>HK-024</t>
  </si>
  <si>
    <t>Lingnan University - Teaching and Learning Centre</t>
  </si>
  <si>
    <t>Subject: Use of Generative Artificial Intelligence (GAI) Tools Term 1 2024-25 (Memo)</t>
  </si>
  <si>
    <t>https://www.ln.edu.hk/tlc/f/page/107180/Use%20of%20Generative%20Artificial%20Intelligence%20%28GAI%29%20Tools%20Term%201%202024-25.pdf</t>
  </si>
  <si>
    <t xml:space="preserve">In Term 1, 2024-25, teaching staff can choose to allow their students to use GAI tools to assist
their preparation for assignments, assessments, and other educational practices. Teaching
staff should communicate with students clearly about the use or not allowing the use of GAI
tools through course outlines, syllabus, Moodle, or other written means of communication to
prevent misunderstandings.
Declaration
If the use of GAI tools is allowed, students must declare the use of GAI tools or other Artificial
Intelligence (AI) technology in their assignments and assessments using a sample template </t>
  </si>
  <si>
    <t>Compare this memo to the Lingnan course syllabi. The University may want to let instructors make their choices, but instructors' autonomy is not reflected in the course syllabi.</t>
  </si>
  <si>
    <t>HK-025</t>
  </si>
  <si>
    <t>Lingnan University - Department of Translation</t>
  </si>
  <si>
    <t>AI Usage Policy for UG and TPG Programmes</t>
  </si>
  <si>
    <t>https://www.ln.edu.hk/tran/f/page/116062/ai-usage-policy-for-ug-and-tpg-programmes.pdf</t>
  </si>
  <si>
    <t xml:space="preserve">Lingnan students are allowed to use AI tools, but
at the same time they need to follow the university’s academic and ethical guidelines.
In line with the University Guidelines, students are expected to declare their usage of AI tools. 
It is agreed by the Department Board that the ceiling cap of AI usage is 40%.* If the AI detection rate
is higher than this, marks will be deducted from students’ work because of lack of originality. Subject
teachers have the discretion to impose a penalty for any AI usage higher than the cap rate. </t>
  </si>
  <si>
    <t>Department puts a more restrictive GenAI usage requirement and enforcement.</t>
  </si>
  <si>
    <t>HK-026</t>
  </si>
  <si>
    <t>Lingnan University - Department of English</t>
  </si>
  <si>
    <t>ENG2101</t>
  </si>
  <si>
    <t>https://www.ln.edu.hk/eng/f/page/104051/ENG2101_AQAC_2024.pdf</t>
  </si>
  <si>
    <t>Students must adhere to the University’s guidelines and practices when using Generative
Artificial Intelligence (AI) tools. The official documents “Guidelines for Using GAI Tools
at Lingnan University” and “Best Practices for Ethical and Responsible Use of GAI Tools
in Course Assessments” can be found here: https://www.ln.edu.hk/tlc/generativeartificialintelligence/gai-guidelines-best-practices.</t>
  </si>
  <si>
    <t>Holds for most other syllabi</t>
  </si>
  <si>
    <t>HK-027</t>
  </si>
  <si>
    <t>ENG3009</t>
  </si>
  <si>
    <t>https://www.ln.edu.hk/eng/f/page/104051/eng3009.pdf</t>
  </si>
  <si>
    <t>HK-028</t>
  </si>
  <si>
    <t>Lingnan University - 
School of Data Science</t>
  </si>
  <si>
    <t>CDS2002</t>
  </si>
  <si>
    <t>https://www.ln.edu.hk/sds/dai/ds/f/page/105561/CDS2002%20Introduction%20to%20Artificial%20Intelligence%20%28Required%29.190825.pdf</t>
  </si>
  <si>
    <t>Students must adhere to the University’s guidelines and practices when using Generative
Artificial Intelligence (GAI) tools. The official documents “Guidelines for Using GAI
Tools at Lingnan University” and “Best Practices for Ethical and Responsible Use of
GAI Tools in Course Assessments” can be found
here: https://www.ln.edu.hk/tlc/generative-artificial-intelligence/gai-guidelines-bestpractices .</t>
  </si>
  <si>
    <t>This is the Introduction to Artificial Intelligence course. The pedagogy focus may be AI Literacy, but the GenAI statement is clearly directed to Academic Integrity.</t>
  </si>
  <si>
    <t>HK-029</t>
  </si>
  <si>
    <t>Lingnan University - Registry</t>
  </si>
  <si>
    <t>Core Curriculum</t>
  </si>
  <si>
    <t>https://www.ln.edu.hk/reg/undergraduate-programmes/core-curriculum</t>
  </si>
  <si>
    <t>Year 1 Intake students are assigned to take ... ‘CCC8015 Generative Artificial Intelligence’ in the first year
Senior Year Intake students are assigned to take ... ‘CCC8015 Generative Artificial Intelligence’ in the third year.</t>
  </si>
  <si>
    <t>Graduation requirement</t>
  </si>
  <si>
    <t>HK-030</t>
  </si>
  <si>
    <t>PolyU - Information Technology Services Office</t>
  </si>
  <si>
    <t>PolyU</t>
  </si>
  <si>
    <t>PolyU GenAI</t>
  </si>
  <si>
    <t>https://www.polyu.edu.hk/its/it-services/polyu-genai/</t>
  </si>
  <si>
    <t>The PolyU generative AI application is solely for PolyU staff and students to use for teaching and learning, research, and work-related activities only.</t>
  </si>
  <si>
    <t>HK-031</t>
  </si>
  <si>
    <t>Hong Kong Polytechnic University (PolyU)</t>
  </si>
  <si>
    <t>Guidelines for Students on the Use of Generative Artificial Intelligence</t>
  </si>
  <si>
    <t>https://www.polyu.edu.hk/ar/docdrive/polyu-students/Student-guide-on-the-use-of-GenAI-revised-260105.pdf</t>
  </si>
  <si>
    <t>PolyU takes an open and forward-looking stance on the use of generative artificial intelligence (GenAI) tools (such as ChatGPT) as a positive and creative force in education, and the incorporation of such use in innovative learning, teaching, and assessment practices.
In accordance with the above stance, the University emphasises that:
• students are accountable for their own work; and
• the use of GenAI (if permitted) in student work should be properly acknowledged.
Some subjects and assessments may not allow or have restrictions on the use of GenAI tools. You may be required to declare the use of GenAI tools (e.g. by completing an honour declaration form) and identify the AI-generated content in your work. You should refer to the relevant
subject and assessment documents for the specific restrictions and requirements. ... If in doubt, check with your teachers.
Using Generative AI critically | ethical | wisely (DOs and DON'Ts)</t>
  </si>
  <si>
    <t>HK-032</t>
  </si>
  <si>
    <t>PolyU - School of Design</t>
  </si>
  <si>
    <t xml:space="preserve">Generative AI Use Guideline &amp; Design Research Integrity </t>
  </si>
  <si>
    <t>https://www.polyu.edu.hk/sd/-/media/department/sd/content/research-2/research-integrity/generative-ai-use-guideline--design-research-integrity202509.pdf</t>
  </si>
  <si>
    <t>PolyU is strongly committed to preserving academic integrity and has a zero-tolerance policy towards academic dishonesty. Do not commit such acts, e.g. cheating, contract cheating, plagiarism (copying others’ work as your own without full acknowledgement, including using generative artificial intelligence (GenAI) tools without proper referencing), impersonation, fabrication and falsification. 
THE SIX PRINCIPLES OF GenAI</t>
  </si>
  <si>
    <t>HK-033</t>
  </si>
  <si>
    <t>PolyU - English Language Centre</t>
  </si>
  <si>
    <t>Brainstorming And Researching Ideas - The S.P.A.C.E. Framework</t>
  </si>
  <si>
    <t>https://www.polyu.edu.hk/elc/docdrive/genai_at_elc/GenAI@ELC_Brainstorming_and_Researching_Ideas.pdf</t>
  </si>
  <si>
    <t>Leverage GenAI in the brainstorming and research process using the S.P.A.C.E. Framework
To use GenAI purposefully and appropriately to facilitate personalised learning</t>
  </si>
  <si>
    <t>Example activity is taken from a Discipline Specific Requirement ELC subject.
(Note: ELC is not a Faculty/School.)</t>
  </si>
  <si>
    <t>HK-034</t>
  </si>
  <si>
    <t>PolyU Library</t>
  </si>
  <si>
    <t>Harnessing GenAI in Your Academic Journey: GenAI &amp; Academic Integrity</t>
  </si>
  <si>
    <t>https://libguides.lb.polyu.edu.hk/genai-academic/ai-academic-integrity</t>
  </si>
  <si>
    <t>Review the policies and guidelines from your faculty, department, or subject. If anything is unclear, consult your course instructor to confirm whether the use of GenAI is permitted in your specific context.</t>
  </si>
  <si>
    <t>Library guide</t>
  </si>
  <si>
    <t>HK-035</t>
  </si>
  <si>
    <t>PolyU EDC</t>
  </si>
  <si>
    <t>Explore a topic - Generative AI</t>
  </si>
  <si>
    <t>https://www.polyu.edu.hk/edc/explore-a-topic/generative-ai/</t>
  </si>
  <si>
    <t>Driven by a wish to harness the positives of GenAI tools, this section will act as a home for resources relating to how GenAI tools can be used in PolyU, and for links to guidelines to their usage by students and staff within the institution.</t>
  </si>
  <si>
    <t>HK-036</t>
  </si>
  <si>
    <t>Subject Description Form - SO2D01</t>
  </si>
  <si>
    <t>https://www.polyu.edu.hk/so/-/media/department/so/content/study/so2d01.pdf</t>
  </si>
  <si>
    <t>One of the Objectives: enhance students’ ability to learn-to-learn through self-reflection, peer assessment and exploration of relevant generative artificial intelligence and technological advances in assignments</t>
  </si>
  <si>
    <t>No AI policy in Subject Description Form</t>
  </si>
  <si>
    <t>HK-037</t>
  </si>
  <si>
    <t>FITE Case Study (1) - Redesigning and Implementing GenAI-ready Assessment</t>
  </si>
  <si>
    <t>https://www.polyu.edu.hk/edc/-/media/department/edc/content/explore-a-topic/generative-ai/fite-case-study---lydia.pdf</t>
  </si>
  <si>
    <t>Students were encouraged to use different GenAI tools (e.g. ChatGPT, Scispace, Research Rabbit, Midjourney, Canva, Murf, etc.) in their group project. Clear guidelines and expectations on the use of GenAI tools, including acceptable usage and ethical concerns, were given to students.
Students were asked to keep a log detailing how they have used GenAI in their project. They were also asked to reflect on the use of GenAI in their project work and submit the reflection (200–300 words) as a group. The reflection focused on how the use of GenAI helped them achieve the intended learning outcomes, the challenges they faced in using the technology (e.g. identifying inaccuracies) and why they chose one tool over another, etc.
The assessment rubric for the group project was updated to evaluate how well students had accommodated the use of GenAI in an ethical, responsible, and effective manner.</t>
  </si>
  <si>
    <t>Not a policy comment, but explaining how the instructor redesigns learning to make good use of GenAI.</t>
  </si>
  <si>
    <t>HK-038</t>
  </si>
  <si>
    <t>PolyU CPCE (including PolyU HKCC and SPEED)</t>
  </si>
  <si>
    <t>Student Handbook 2025/26</t>
  </si>
  <si>
    <t>https://www.cpce-polyu.edu.hk/docs/cpceacademicregistrycarlibraries/default-document-library/cpce_student_handbook.pdf</t>
  </si>
  <si>
    <t>Under "Cheating": Using unpermitted materials and aids [including Generative Artificial Intelligence (GenAI) if it is explicitly disallowed] during tests, examinations or other forms of assessment / assignment, be they in-person or online, or using materials / tools / aides (including GenAI) in impermissible ways to perform or complete an academic task
Under "Avoid Plagiarism": Observe the rules and regulations about using Generative Artificial Intelligence (GenAI) tools set by your programme, and the subject that you are studying.</t>
  </si>
  <si>
    <t>HKCC shares the same Student Handbook (hence GenAI policies) with PolyU</t>
  </si>
  <si>
    <t>HK-039</t>
  </si>
  <si>
    <t>Artificial Intelligence and Data Analytics Requirement</t>
  </si>
  <si>
    <t>https://www.polyu.edu.hk/cus/student/4-year-undergraduate-student/general-university-requirements/for-students-who-admitted-from-2022-23/artificial-intelligence-and-data-analytics-requirement/</t>
  </si>
  <si>
    <t>What you need to do: 4-Year Degree Students admitted in/after 2022/23 are required to complete a 2-credit for GUR-AIDA within the first year of studies.</t>
  </si>
  <si>
    <t>HK-040</t>
  </si>
  <si>
    <t>PolyU - Department of English and Communication</t>
  </si>
  <si>
    <t>Generative AI - Inappropriate usage and limitations | Department of English and Communication</t>
  </si>
  <si>
    <t>https://www.polyu.edu.hk/engl/experience-and-opportunities/generative-ai/inappropriate-usage-and-limitations/</t>
  </si>
  <si>
    <t>ChatGPT bases its output on previous word patterns without regard to factual accuracy. Generative AI tools should not be relied on due to AI “hallucination”, which is text that appears convincing, but ultimately factually incorrect upon further checking. This has resulted in punishments for lawyers who used ChatGPT to cite cases that did not exist</t>
  </si>
  <si>
    <t>This is part of their website about GenAI use. This particular page lists improper use cases and examples. It links to PolyU's policies under "Other Resources".</t>
  </si>
  <si>
    <t>HK-041</t>
  </si>
  <si>
    <t>Lingnan University - Department of Philosophy</t>
  </si>
  <si>
    <t>PHI1002</t>
  </si>
  <si>
    <t>https://www.ln.edu.hk/philoso/f/page/103887/PHI1002.pdf</t>
  </si>
  <si>
    <t>Students shall be aware of the University regulations about dishonest practice in course... 
work, tests and examinations</t>
  </si>
  <si>
    <t>Not specific about AI.
Holds for all other PHI (Department of Philosophy) Syllabi</t>
  </si>
  <si>
    <t>HK-042</t>
  </si>
  <si>
    <t>PHI2118</t>
  </si>
  <si>
    <t>https://www.ln.edu.hk/philoso/f/page/103887/PHI2118.pdf</t>
  </si>
  <si>
    <t>Course title is A Philosophical Introduction to Artificial Intelligence, but there is no AI usage policy statements!</t>
  </si>
  <si>
    <t>HK-043</t>
  </si>
  <si>
    <t>Subject Description Form - CE1002</t>
  </si>
  <si>
    <t>https://www.polyu.edu.hk/bre/docdrive/Subject_Syllabus/2025_26/ServiceLearning/CE1002.pdf</t>
  </si>
  <si>
    <t>This course teaches AI.
No AI policy in Subject Description Form</t>
  </si>
  <si>
    <t>HK-044</t>
  </si>
  <si>
    <t>Subject Description Form - LGT1041</t>
  </si>
  <si>
    <t>http://www.lms.polyu.edu.hk/subject-syllabi/ug/LGT1041.pdf</t>
  </si>
  <si>
    <t>HK-045</t>
  </si>
  <si>
    <t>Subject Description Form - EIE1D03</t>
  </si>
  <si>
    <t>https://www.polyu.edu.hk/eee/-/media/department/eee/content/study/subject-syllabi/eee-subject-syllabi/2024-10-ee-eie/eie1d03_sdf_2024.pdf</t>
  </si>
  <si>
    <t>HK-046</t>
  </si>
  <si>
    <t>APAI1001</t>
  </si>
  <si>
    <t>https://webapp.science.hku.hk/sr4/servlet/enquiry?Type=Course&amp;course_code=APAI1001</t>
  </si>
  <si>
    <t>The syllabus teaches AI but doesn't state a GenAI usage policy</t>
  </si>
  <si>
    <t>HK-047</t>
  </si>
  <si>
    <t>AF1605</t>
  </si>
  <si>
    <t>https://www.polyu.edu.hk/af/-/media/department/af/content/study/subject-syllabi/ug/2025/af1605_20252.pdf</t>
  </si>
  <si>
    <t>Nothing specific about AI</t>
  </si>
  <si>
    <t>HK-048</t>
  </si>
  <si>
    <t>MM4922</t>
  </si>
  <si>
    <t>https://www.polyu.edu.hk/mm/-/media/department/mm/content/study/subject-syllabi/mm4922.pdf</t>
  </si>
  <si>
    <t>HK Coding — GenAI Policy Coding</t>
  </si>
  <si>
    <t>MOE sets 2026 priorities for digital education</t>
  </si>
  <si>
    <t>http://en.moe.gov.cn/news/press_releases/202604/t20260406_1432962.html</t>
  </si>
  <si>
    <t>The MOE convened a meeting on March 31 to outline priorities for the next phase of the country’s digital education strategy, with a focus on integrating artificial intelligence (AI) across teaching, learning and educational management.
Looking ahead, the meeting called for more systematic integration of AI across different areas of education. In schools, the focus will be on supporting personalized learning and equipping students with interdisciplinary skills relevant to emerging industries. In the field of lifelong learning, the meeting emphasized expanding digital platforms to better connect education with industry and society, with a view to improving the employability of graduates and supporting continuous skill development.</t>
  </si>
  <si>
    <t>This is an official press release article. It is included here because there is no equivalent "original text" available.
We cannot say this 2026 March 31 meeting had any effect on the HK institutions just yet (too recent). But we can see the alignment across different Tiers.
"Industry" seems to be very important in their framework.</t>
  </si>
  <si>
    <t>Ten major reforms shaping China’s education landscape in 2025</t>
  </si>
  <si>
    <t>http://en.moe.gov.cn/news/press_releases/202601/t20260120_1427027.html</t>
  </si>
  <si>
    <t>[Three of the ten "reform themes" mentioned AI]
3. Rebalancing university disciplines and degree programs - "New programs have been introduced in areas such as artificial intelligence..."
5. Training elite engineers for industries of strategic importance - "In fields such as semiconductors and artificial intelligence, universities and companies jointly recruit students, design curricula, supervise research, and share outcomes."
8. Expanding access to quality undergraduate education - "New places are concentrated in strategic fields such as artificial intelligence..."</t>
  </si>
  <si>
    <t>This is an official press release article. It is included here because there is no equivalent "original text" available.
It summarizes the reform themes observed after MOE's "three-year action plan" and "a series of targeted reforms".
AI is one of the country's major "Strategic fields".</t>
  </si>
  <si>
    <t>教育部等五部门关于印发《“人工智能+教育”行动计划》的通知</t>
  </si>
  <si>
    <t>https://www.nda.gov.cn/sjj/zwgk/zcfb/0413/20260410162428109058250_pc.html</t>
  </si>
  <si>
    <t>（二）培育面向智能时代的高层次人才。推动人工智能成为高校公共基础课，按学科专业分类编写课程教材，推动全体学生掌握人工智能知识。根据人工智能技术特点，打造“短实新”的前沿创新课程。优化传统学科专业人才培养方案，指导高校开设人工智能交叉融合课程，丰富跨学科、跨专业课程群，培养复合型交叉人才。根据产业结构智能升级优化调整学科专业设置，新设一批适应新技术、新产业、新业态的学科专业。整合高水平研究型大学、科技领军企业、国家实验室等力量，深化学科交叉、产教融合、科教融汇，探索人工智能拔尖创新人才培养新模式。
(Google translate (verified): (II) Promote the integration of artificial intelligence (AI) as a core general education course within higher education institutions, developing specialized textbooks tailored to specific academic disciplines and majors to ensure that all students acquire a foundational understanding of AI. Drawing upon the unique characteristics of AI technology, develop cutting-edge, innovative courses that are concise, practical, and forward-looking. Optimize talent cultivation plans for traditional academic disciplines; guide universities in establishing interdisciplinary AI courses; enrich the array of cross-disciplinary and cross-major course clusters; and cultivate versatile, interdisciplinary talent. Adjust and optimize academic discipline and major offerings in alignment with the intelligent upgrading of industrial structures, establishing a new cohort of disciplines and majors designed to meet the demands of emerging technologies, industries, and business models. Integrate the resources of high-level research universities, leading technology enterprises, and national laboratories to deepen interdisciplinary convergence, industry-education integration, and science-education synergy, thereby exploring new models for cultivating top-tier, innovative talent in the field of artificial intelligence.)</t>
  </si>
  <si>
    <t>References two other documents (including HK-004):
"根据《教育强国建设规划纲要（2024—2035年）》战略部署，按照《国务院关于深入实施“人工智能+”行动的意见》的要求，制定本计划。"
For details, search for 高校 (= Higher Education Institutions) in the main text.
Note that HK Inst. strictly speaking are not governed by these guidelines.</t>
  </si>
  <si>
    <t>国务院关于深入实施“人工智能+”行动的意见</t>
  </si>
  <si>
    <t>"推行更富成效的学习方式。把人工智能融入教育教学全要素、全过程，创新智能学伴、智能教师等人机协同教育教学新模式，推动育人从知识传授为重向能力提升为本转变，加快实现大规模因材施教，提高教育质量，促进教育公平。构建智能化情景交互学习模式，推动开展方式更灵活、资源更丰富的自主学习。鼓励和支持全民积极学习人工智能新知识、新技术。
(Promote more effective learning methods. Integrate artificial intelligence into every element and stage of education and instruction; pioneer new human-machine collaborative models—such as intelligent learning companions and AI teachers—to drive a shift in pedagogy from a primary focus on knowledge transmission to one centered on capability enhancement; accelerate the realization of personalized instruction on a large scale; improve educational quality; and foster educational equity. Establish intelligent, context-aware interactive learning models to facilitate self-directed learning characterized by greater flexibility and richer resources. Encourage and support the entire populace in actively acquiring new knowledge and technologies related to artificial intelligence.)"</t>
  </si>
  <si>
    <t>Referenced by HK-003.
This is the first document in the list that takes Learning as the main focus (rather than Industry needs).</t>
  </si>
  <si>
    <t>Global AI Governance Action Plan</t>
  </si>
  <si>
    <t>https://hk.ocmfa.gov.cn/eng/xjpzxzywshd/202507/t20250729_11679232.htm</t>
  </si>
  <si>
    <t>To this end, we hereby put forward the Global AI Governance Action Plan, calling on all parties to take concrete and effective actions in advancing global AI development and governance based on the objectives and principles of promoting AI for good and in service of humanity, respecting national sovereignty, aligning with development goals, ensuring safety and controllability, upholding fairness and inclusiveness, and fostering open cooperation.
"Education" was mentioned under:
3. Advancing AI empowerment across industries.
9.Spearheading deployment and application by the public sector.
12.Strengthening international cooperation on AI capacity building.</t>
  </si>
  <si>
    <t>Another press release, which seems to be the only reference for this Action Plan? Mentions "AI+" (HK-004).</t>
  </si>
  <si>
    <t>The Chief Executives 2025 Policy Address Supplement</t>
  </si>
  <si>
    <t>https://www.policyaddress.gov.hk/2025/public/pdf/supplement/supplement-full_en.pdf</t>
  </si>
  <si>
    <t>Promote digital education
Collaborate with professional bodies to launch
pilot schemes to promote AI education,
including enhancement of professional
training for teachers and strengthening the
application of Generative AI in learning and
teaching. (EDB)</t>
  </si>
  <si>
    <t>Grand direction</t>
  </si>
  <si>
    <t>The Chief Executive's 2024 Policy Address Education Bureau’s Policy Initiatives</t>
  </si>
  <si>
    <t>https://www.edb.gov.hk/en/about-edb/legco/policy-address/2024_Panel_on_Education_Eng.pdf</t>
  </si>
  <si>
    <t>Setting up the Steering Committee on Strategic Development of Digital Education
16. To dovetail with the national development of digital education and to nurture talents for the innovation and technology (I&amp;T) sector, the Government will continue to step up the promotion of STEAM education in primary and secondary schools, and enhance information technology in education to facilitate the deep integration of I&amp;T, including artificial intelligence (AI), in education. We will set up the Steering Committee on Strategic Development of Digital Education in this school year to tender advice and suggestions on promoting digital education.
[p.20] Under "Proposal on Launching the Research Matching Grant Scheme": mentioned "artificial intelligence"
the Government proposes to launch the Scheme again in 2025 with $1.5 billion of matching grants to encourage the higher education sector to expand their research funding sources, and bolster support for the institutions’ academic research endeavours. The Scheme will cover four years from mid-2025 to mid-2029</t>
  </si>
  <si>
    <t>Grand direction
FIrst quote mostly directed to Primary and Secondary schools
Money is spent</t>
  </si>
  <si>
    <t xml:space="preserve">Content Safety is a critical issue for generative AI services.Fabrication of Rumours refers to the challenge wherein generative AI services can produce highly convincing text, images, audio, video, and other multimedia content.
education technology (EdTech) sector should ensure equitable access, preventing learning outcomes from being affected by algorithmic bias.
Education: The education sector should regulate the use and scope of generative AI rather than outright banning students from using it. However, students should obtain teacher approval before using AI in their coursework, and AI-generated content should be clearly identifiable to prevent misuse that violates academic integrity. When teachers use generative AI in teaching, they must ensure that the generated content is truthful, accurate, and consistent in both textual and visual representation. If AI is used for grading assignments and exams, final results should always be reviewed by human educators.
</t>
  </si>
  <si>
    <t>Their primary concern is the quality of the content and the threat it poses to society. This is very much within the realm of AI ethics</t>
  </si>
  <si>
    <t xml:space="preserve">balance AI innovation and development, application and responsibility, thereby constructing a governance framework with local characteristics that is suitable for Hong Kong's context
Organisations can make use of the Ethical AI Framework when adopting AI and big data analytics
in their IT projects or services. Ethical AI Framework is defined not only to serve as a
reference/guide for the IT project team during the development and maintenance process. It also
defines the governance structure to enable organisations to demonstrate accountability in building
trust upon adoption of AI by evaluating the impact, ensuring safe and responsible use of AI and
facilitating innovation.
</t>
  </si>
  <si>
    <t>HongKong gov is basically saying: they have a good ai guidelines, please follow them, but they are not making them</t>
  </si>
  <si>
    <t>Fund for Innovative Technology-in-Education</t>
  </si>
  <si>
    <t>https://www.ugc.edu.hk/eng/ugc/activity/teach_learn/fite.html</t>
  </si>
  <si>
    <t>The UGC announced the launch of the Fund for Innovative Technology-in-Education (FITE) with a funding allocation of $100 million in June 2023 for 2023/24 – 2025/26 academic years, with $20 million earmarked for inter-institutional collaborative activities between institutions. The FITE aims to provide an impetus for universities to harness innovative and breakthrough technologies in transforming pedagogies and enriching student learning experiences, and to nurture a digitally competent and technologically responsible generation, for the future success of their students in the digital economy.</t>
  </si>
  <si>
    <t>$</t>
  </si>
  <si>
    <t>Academic Integrity and University-wide Core Principles for Using AI in Teaching and Assessment</t>
  </si>
  <si>
    <t>Staff and students are reminded that the HKU regulations and policies regarding plagiarism and academic mis-conduct supersede all other regulations, where there is a conflict, these regulations and policies take precedence. ANY misuse of AI or misrepresentation of AI work as one’s own independent creative work violates the HKU regulations as well as generally accepted principles of community, integrity and honor. Violations will be referred to the university disciplinary committee. Staff are reminded to draw students’ attention to this. With the advent of more sophisticated AI tools, it is essential that staff clearly explain to students the purpose of each assignment and/or assessment, and how this purpose has influenced their decisions about the extent to which use of AI is allowed/restricted
instructors can decide how they wish to integrate AI in their academic practice; nonetheless, the core principles below provide guidance on current “best use”.</t>
  </si>
  <si>
    <t>Core principles
School will provide a general guideline and faculty can lead their own rules on their own</t>
  </si>
  <si>
    <t>?</t>
  </si>
  <si>
    <t>The six core principles to AI policy in education are:
- equal access is important;
- guaranteeing AI security is critical;
- AI literacy is essential;
- rethinking pedagogy is most likely necessary;
- course assessment will be greatly impacted and may need to be redesigned; and
- academic integrity is an issue of concern for staff and students alike.
Assessment
Teachers and course coordinators need to consider if they will include and/or integrate GenAI into assessments and, if so, how to ensure assessments remain authentic and fair. They must critically evaluate current assessment methods that may be susceptible to student use of GenAI and consider replacing them with alternatives.
Integrity
Students are accountable for all work they submit for assessments, including any content generated or used with the assistance of GenAI. The use of AI tools should be properly cited to state its contributions, alongside a declaration of how human judgment and oversight were exercised to achieve the final product.</t>
  </si>
  <si>
    <t>Many big keywords: Equity, Privacy/secutiry, AI Literacy, Pegagogy, Academic integrity</t>
  </si>
  <si>
    <t>https://www.rss.hku.hk/research-integrity/GenAI-research-guidelines.pdf</t>
  </si>
  <si>
    <t>Researchers only</t>
  </si>
  <si>
    <t xml:space="preserve">This document aims to provide general guidance on effective and responsible use of AI
in research, especially in relation to the use of GenAI. The guidelines supplement and
complement existing HKU policies, e.g. the Policy on Research Integrity
(https://www.rss.hku.hk/integrity/rcr/policy) and Intellectual Property Rights Policy
(https://www.rss.hku.hk/contracts/ipr), which should also be read and applied together
with these guidelines.
Use of GenAI for ideation and background research is only acceptable if
• this specific usage of the GenAI system is duly documented and acknowledged;
• the researcher has verified the accuracy, fairness, and originality (or lack of originality) of text, figures, table and data generated by a GenAI tool;
• the researcher has verified that all relevant external primary sources are cited and represented fully and fairly; and
• the use of GenAI does not inevitably disclose patentable inventions
Students and assistants should seek approval from their supervisors on plans to use GenAI tools in the research process, and the usage should be well documented. Research students should also declare their use of GenAI tools and specify their usage at the time of thesis submission for examination.
</t>
  </si>
  <si>
    <t>Built upon existing inst. policy.</t>
  </si>
  <si>
    <t>General Principles of Responsible Use
1. Research Integrity
Avoid misleading information and ensure AI-generated content is accurate and do not violate research integrity principles, including fabrication, falsification, or misconduct.
Be aware of potential biases in GenAI outputs and interpret results critically.
2. Data Validity and Quality Control
Critically verify and interpret GenAI-generated content.
Use human judgment and domain expertise to assess GenAI outputs.
Do not rely solely on GenAI-generated content for research conclusions or publications.
[There are several more points]
Under "Best Practice": Document Usage: Keep detailed records of how and when GenAI tools are used in the research process. 
Notes
This webpage aims to foster a culture of responsible and ethical use of GenAI in research, in alignment with HKU's overarching policies on research integrity and data management. It does not replace or supersede the standards set out in the Guidelines on the Responsible Use of Generative AI in Research at The University of Hong Kong. This webpage should also be read in conjunction with other institutional policies and regulations.</t>
  </si>
  <si>
    <t>They share a open mind for new ai tools and finding the right/postive method to accret with GENAI.</t>
  </si>
  <si>
    <t xml:space="preserve">Guidebook: Generative Artificial Intelligence for Teaching and Learning </t>
  </si>
  <si>
    <t>https://commoncore.hku.hk/wp-content/uploads/documents/Guidebook%20-%20GenAI%20in%20Teaching%20and%20Learning.pdf</t>
  </si>
  <si>
    <t>The guidebook explores some of these capabilities, presents examples of thoughtful applications, and engages in dialogue about GenAI’s implementations and implications. By drawing on findings from the literature, alongside student and teacher interviews and case studies, this guidebook aims to provide teachers with the knowledge, frameworks, and practical strategies necessary to make informed decisions about GenAI use.
Our hope is for teachers to use AI not merely to enhance existing models of learning but compose with it as a means to unsettle current paradigms and assumptions in higher education teaching and learning to flourish in more creative and impactful trajectories.</t>
  </si>
  <si>
    <t>Not strictly a "policy" document.
But it contains different perspectives and use cases for faculty staff's pondering.</t>
  </si>
  <si>
    <t>Using GenAI Responsibly in Your Research — A Quick Guide for RPG Students</t>
  </si>
  <si>
    <t>https://gradsch.hku.hk/news_and_events/newsletter/using-genai-responsibly-your-research-quick-guide-rpg-students</t>
  </si>
  <si>
    <t xml:space="preserve">Generative AI (GenAI) is transforming research by offering tools for idea generation, data processing, and content creation. However, its use introduces ethical, legal, and integrity challenges. Misuse can lead to plagiarism, data privacy breaches, and compromised research credibility. Understanding these risks ensures that GenAI is applied as a supportive tool—not a substitute for original thinking. 
For RPG supervisors 
- GenAI use should be deliberate to allow students to learn responsible research practices both with and without GenAI. 
- Supervisors should design tasks that include both GenAI-supported and GenAI-free activities. 
- The Graduate School, Faculties, Schools, Departments, and Centres should provide guidance and support to supervisors. 
For RPG students and trainees 
- Students and assistants must seek supervisor approval before using GenAI. 
- Disclosure of GenAI use is mandatory. 
- Usage should be well documented and meet the criteria for degree conferral (originality and contribution to knowledge). 
- Students must declare, and justify it when required, the use of GenAI at thesis submission. </t>
  </si>
  <si>
    <t>From Grad School.
Most of the content is about how to use it responsibly.
Points to HK-013 at the end.</t>
  </si>
  <si>
    <t>HKU Policy on Use of Generative Artificial Intelligence for Teaching and Learning</t>
  </si>
  <si>
    <t>Guidance for Using Generative AI Tools and Building Applications</t>
  </si>
  <si>
    <t>https://innowings.engg.hku.hk/innowing1/aiguide/</t>
  </si>
  <si>
    <t>Welcome to the world of generative AI and their versatile applications in building innovative solutions. These AI technologies offer powerful tools for creative problem-solving ideas and applications. However, their use must be accompanied by a strong commitment to ethical, responsible, and lawful practices. This document is intended to provide students with comprehensive guidelines for using generative AI tools and responsibly developing applications with them.
[The first 3 guidelines]
1. Responsible AI: Crafting Ethical and Responsible Contents
Generative AI tools empower us to create content. Use this power responsibly by ensuring that the generated content adheres to ethical and legal standards.
Refrain from generating content that promotes harm, bias, discrimination, misinformation, or any form of unethical behavior. Test results/contents that may have embed such unethical behavior and avoid using them.
Avoid any misuse of generative AI tools, including harassment, hate speech, plagiarism, or any illegal activities.
2. Limitation on created contents: Understanding the Limits of Generated Contents
Recognize that user of AI-generated results/contents should bear the ultimate accountability in using them.
Recognize the issues of confident responses produced by AI tools that are inaccurate or incoherent with the context, also known as hallucination, and the implications of prompt engineering in AI-generated results/contents.
Consider whether AI-generated results/contents encourage or discourage diversity and conformity.
3. Data Protection: Safeguarding User Data
Ensure that the data used with AI tools complies with the University’s privacy and data protection regulations (https://hku.hk/about/policies_reports/ privacy_policy.html).
Do not collect any unnecessary personal data from users that is not relevant to the application’s functionality.
Clearly inform individuals who utilize AI tools about the data to be collected and how the data will be used.
Understand fully how personal data inputted to AI tools will be used beyond generating immediate results.
Please seek approval from Human Research Ethics Committee (https://www.rss.hku.hk/integrity/ethics-compliance/hrec) before collecting any data for research purposes.</t>
  </si>
  <si>
    <t>This document is not written for teaching/learning in a course's context.
The tone is like: AI is powerful! So use it with care.
Focusing on Data.</t>
  </si>
  <si>
    <t>Plagiarism Warning and Guidelines on Use of GenAI</t>
  </si>
  <si>
    <t>https://english.hku.hk/General_Information/Plagiarism_Warning_and_Guidelines_on_Use_of_GenAI</t>
  </si>
  <si>
    <t>There are severe penalties for plagiarism in the School of English...
POLICY on the use of generative artificial intelligence (genai)
The University has prepared a policy document outlining the regulations that govern the use of generative artificial intelligence in teaching and learning. For details, please refer to the "Policy on Use of Generative Artificial Intelligence for Teaching and Learning" on the HKU Teaching and Learning website (requires HKU Portal Access).
Final advice: In case of doubt, consult your teachers or tutors.</t>
  </si>
  <si>
    <t>Clearly point the "policy" to institutional but the decision to teachers</t>
  </si>
  <si>
    <t>Generative AI Resource Hub</t>
  </si>
  <si>
    <t>https://www.med.hku.hk/en/teaching-and-learning/edtech/resource-hub</t>
  </si>
  <si>
    <t>A collection of teaching materials and guidelines are being developed to facilitate the application of AI technologies in teaching and learning activities.
Guidelines on the Use of Generative Artificial Intelligence in Teaching and Learning for Professional Degree Programmes [PDF]
Generative AI literacy video series for HKUMed...</t>
  </si>
  <si>
    <t>The [PDF] is password protected.
The video series is quite positive.</t>
  </si>
  <si>
    <t>ICSS2026_Course Syllabus</t>
  </si>
  <si>
    <t>https://summerinstitute.hku.hk/storage/media/Temp%20Files/2026_Course%20Outline/20251223_ICSS2026_Course%20Syllabus_2026-2</t>
  </si>
  <si>
    <t>Students will learn how to collect, process, and analyze large-scale digital and behavioral data using computational tools such as text analysis, network analysis, social media analytics, and LLMs. Emphasis will be placed on real-world applications in social scientific domains.</t>
  </si>
  <si>
    <t>LLM is one of the many tools covered in this course.
No "specific AI policy" statements</t>
  </si>
  <si>
    <t>PSYC7319 Course Syllabus</t>
  </si>
  <si>
    <t>https://psychology.hku.hk/wp-content/programmes/MSocScPsy/CourseOutlines/7319.pdf</t>
  </si>
  <si>
    <t>(p.6) Generative AI usage
The University provides students with access to GenAI tools. However, the GenAI tools, at least at this stage of development, should not be taken as reliable
sources of knowledge for this course, for which the answers of GenAI tools to questions are too often (a) loaded with inaccuracies, (b) incomplete, and/or (c)
misleadingly represented. Students who nonetheless choose to use any GenAI tools for completing their homework assignments should note that the same
academic integrity standards are applicable for applying the tools as for other references. The application of GenAI, if any, in submitted work should be
properly acknowledged. Submitting any GenAI output, in part or in whole, for homework assignments without explicit referencing (to indicate that the contents
concerned are generated by the GenAI sources) will constitute plagiarism.
AI tools, such as ChatGPT, DALL-E, and similar technologies, are ONLY permitted to help students, fine-tune assignments, or check grammar and writing
style unless otherwise specified (see the table below). AI tools are NOT permitted to write the entire draft of a writing assignment, paragraphs, or sentences.
You will receive a failed grade in the corresponding assessment if we suspect the content of your assignments is not written by you.
It is essential to recognize that students bear responsibility for the content generated through AI queries, ensuring that it remains compliant with intellectual
property laws, devoid of misinformation, plagiarism, and ethically sound. To maintain adherence to university policies on academic integrity, the utilization
of AI tools must be acknowledged.
Assignment/
Assessment
Purpose of assignment/Assessment Acceptable use of
AI tools
Unacceptable use of AI
tools
Reasons for allowing/
restricting use of AI tools
In-class group
presentation and
essay
Exercise critical thinking and knowledge
gained from the course to evaluate the
chosen topic.
Using AI tools for
information
gathering (finding
theories and
relevant research
studies).
Using AI tools for
checking grammar.
Using AI tools to generate
the presentation slides or
presentation scripts.
Using AI tools to generate
the outline or drafts of the
essay.
Students can use AI tools to
enhance their information
gathering. However, the main
ideas and perspectives should
come from the students’ own
thinking.
Public education
article
Encourage students to pay attention to
societal needs, to consolidate and integrate
knowledge learned from lectures, and to
apply the learned knowledge to tackle realworld issues.
Using AI tools for
checking grammar.
Using AI tools to generate
any content ideas or to
write the essay.
This assignment requires the
student to work on it
independently.</t>
  </si>
  <si>
    <t>Statement starts with a big "However".
The accepted and unaccepted uses are stated clearly with rationale with respect to assessment purpose.</t>
  </si>
  <si>
    <t>PSYC7315 Course Syllabus</t>
  </si>
  <si>
    <t>https://psychology.hku.hk/wp-content/programmes/MSocScPsy/CourseOutlines/7315.pdf</t>
  </si>
  <si>
    <t>The University provides students with access to GenAI tools. However, their application is (a) not
necessary for learning the contents of this course and (b) not expected to be advantageous for completing
the course’s assignments. The GenAI tools, at least at this stage of development, should not be taken as
reliable sources of knowledge for this course, for which the answers of GenAI tools to questions are too
often (a) loaded with inaccuracies, (b) incomplete, and/or (c) misleadingly represented. Students who
nonetheless choose to use any GenAI tools for completing their homework assignments should note that
the same academic integrity standards are applicable for applying the tools as for other references. The
application of GenAI, if any, in submitted work should be properly acknowledged. Submitting any
GenAI output, in part or in whole, for homework assignments without explicit referencing (to
indicate that the contents concerned are generated by the GenAI sources) will constitute
plagiarism.</t>
  </si>
  <si>
    <t>There is a separate section for "Plagiarism" detailing the penalties.</t>
  </si>
  <si>
    <t>UPAD7001 Course Syllabus</t>
  </si>
  <si>
    <t>https://foa-media.arch.hku.hk/media/upload/2025/10/UPAD7001_Reseach_Design_Seminar_Series_Course-Outline_2025-2026_10Sep.pdf</t>
  </si>
  <si>
    <t>Generative AI (GAI) –
1. Students are expected to do their assignments themselves and not asking someone
else or Generative AI to do it for them.
2. The use of GAI needs to be properly declared. The declaration should include but
not limited to which tool(s) and version are used at what stage and for what
purposes as well as whether GAI generated texts have been further digested and
rewritten by students in their assignments.
3. As an English medium university, we are expecting our students to be able to
submit their assignments in their own written English and not translated by
someone else, the computer, or Generative AI.
4. Assignments not done by the students themselves may result in grade penalties
and constitute academic misconduct. Students are advised to consult and confirm
with course teachers regarding permitted uses of GAI for individual courses and
assignments.</t>
  </si>
  <si>
    <t>Looks like a generic statement, e.g. "consult and confirm with course teachers... for individual courses and assignments".
But this document is a syllabus of a single course - UPAD7001 Research Design Seminar Series.
Using AI = Asking someone else
"MAY result in penalties"</t>
  </si>
  <si>
    <t>GEOG3422 Course Syllabus</t>
  </si>
  <si>
    <t>https://bpyloo.hku.hk/wp-content/uploads/2025/09/GEOG3422-Course-Outline-01Sep2025.pdf</t>
  </si>
  <si>
    <t>The course instructor and the course TA will check the originality report prior to
marking. We view breaches of copyright and plagiarism, as well as the improper use of
GenAI, very seriously.
• When the detected AI percentage surpass the threshold of 30%, course teachers will
provide the relevant students with the AI detection reports, and ask them to explain the
process whereby they arrived at the submitted assignment, accompanied with any
supporting documents (e.g. initial drafts, sources of data, and references read).
• When grading the assignments with AI detection rate over the threshold, the teachers
will consider the AI detection report (including which part of the writing is flagged)
together with the student explanation.
• Plagiarized work or work with improper use of AI will receive a fail grade. There may
also be disciplinary action against the student who commits the above offence.</t>
  </si>
  <si>
    <t xml:space="preserve">It is explicit that one ot the reason of using Turnitin is the detection of improper AI use (bigger than 30%).
All negative. No mention of how GenAI may be useful. Almost Prohibitive, but still, 30% is 30%.
</t>
  </si>
  <si>
    <t>PolyU takes an open and forward-looking stance on the use of GenAI tools as a positive and creative force in education... While embracing the use of new technology in education, PolyU upholds the principle that students must adhere to high standards of academic integrity... The Student Code of Conduct and the policy on academic integrity apply to the use of GenAI in student work.
In accordance with the above stance, the University emphasises that:
• students are accountable for their own work; and
• the use of GenAI (if permitted) in student work should be properly acknowledged.
Some subjects and assessments may not allow or have restrictions on the use of GenAI tools. You may be required to declare the use of GenAI tools (e.g. by completing an honour declaration form) and identify the AI-generated content in your work. You should refer to the relevant
subject and assessment documents for the specific restrictions and requirements. ... If in doubt, check with your teachers.
Using Generative AI critically | ethical | wisely (DOs and DON'Ts)</t>
  </si>
  <si>
    <t>There is no need for new rules; simply integrate GenAI into the existing academic integrity framework,which is findinga comermise ground between ai tools and guidelines</t>
  </si>
  <si>
    <t>YM (added something)</t>
  </si>
  <si>
    <t>PolyU Edcuation Development Centre</t>
  </si>
  <si>
    <t>Generative AI</t>
  </si>
  <si>
    <t>It is expected that the usage of generative AI will become a normal part of learning, teaching, and assessment from 2023/24 Semester One.
attempting to stop their usage seems likely to fail and be counterproductive. Driven by a wish to harness the positives of GenAI tools, this section will act as a home for resources relating to how GenAI tools can be used in PolyU, and for links to guidelines to their usage by students and staff within the institution.</t>
  </si>
  <si>
    <t>Leveraging GenAi&amp; Redesigning assessment seems the best way to adapt AI streaming,it's a teaching opportunity to seize</t>
  </si>
  <si>
    <t>Honour Declaration for Individual Assessment/Assignment</t>
  </si>
  <si>
    <t>https://www.polyu.edu.hk/edc/-/media/department/edc/content/explore-a-topic/academic-integrity/expanded-honour-declaration-forms_june-2024.pdf?la=en&amp;hash=EBAD20FDCE2877034F7943181F8793AC</t>
  </si>
  <si>
    <t>I have read, understood and followed the requirements of this subject and, in particular, the requirements related to using GenAI in this assessment/assignment.The work in this assessment/assignment is my own work. No part of this assessment/assignment
is taken from other people’s work and/or other sources, including GenAI output, without giving them credit through proper referencing. All references have been clearly cited in the convention snd format appropriate for this assessment/assignment.
(...) Students who are found committing academic dishonesty will face disciplinary actions. Penalties may include reduced grades, failed subjects, and suspension and expulsion from the University.</t>
  </si>
  <si>
    <t xml:space="preserve">Student Handbook for Taught Programmes 2025/26 </t>
  </si>
  <si>
    <t>https://www.polyu.edu.hk/ar/docdrive/polyu-students/student-handbook/Student_Handbook_2025-26_English.pdf</t>
  </si>
  <si>
    <t>Cheating: Using unpermitted materials and aids (including Generative Artificial Intelligence (GenAI) if it is explicitly disallowed), during tests, examinations, or other forms of assessment/assignment, be they in-person or online, or using materials/tools/aides (including GenAI) in impermissible ways to perform or complete an academic task
Observe the rules and regulations about using Generative Artificial Intelligence (GenAI) tools set by your Department, programme, and the subject that you are studying.</t>
  </si>
  <si>
    <t>PolyU Academic Registry</t>
  </si>
  <si>
    <t>Must-read for success in your study</t>
  </si>
  <si>
    <t>https://www.polyu.edu.hk/ar/students-in-taught-programmes/notices-to-students/2025/2025-09-26_must-read-for-success-in-your-study/</t>
  </si>
  <si>
    <t>PolyU is strongly committed to preserving academic integrity and has a zero-tolerance policy towards academic dishonesty. Do not commit such acts, e.g. cheating, contract cheating (paying a 3rd party to complete your work), plagiarism (copying others’ work as your own without full acknowledgement, including using generative artificial intelligence (GenAI) tools without proper referencing), impersonation, fabrication and falsification.</t>
  </si>
  <si>
    <t>Quite serious wording:
"Do not act in a way that you will regret later."</t>
  </si>
  <si>
    <t>PolyU Design</t>
  </si>
  <si>
    <t>Research Integrity</t>
  </si>
  <si>
    <t>https://www.polyu.edu.hk/sd/research/research-integrity/</t>
  </si>
  <si>
    <t xml:space="preserve">These guidelines are designed to help colleagues and students at the School of Design use GenAI responsibly, transparently, and ethically. It aligns with university policies while addressing the specific contexts and challenges faced by designers. 
</t>
  </si>
  <si>
    <t>The Full Guides PDF are both restricted by a login page</t>
  </si>
  <si>
    <t>PolyU English Learning Centre</t>
  </si>
  <si>
    <t>GenAI@ELC</t>
  </si>
  <si>
    <t>https://www.polyu.edu.hk/elc/genai/</t>
  </si>
  <si>
    <t>PolyU takes an open and forward-looking stance on the use of generative artificial intelligence (GenAI) tools as a positive and creative force in education, and encourages the incorporation of such use in innovative learning, teaching, and assessment practices. While embracing the use of new technology in education, PolyU upholds the principle that students must adhere to high standards of academic integrity in all forms of assessments, and should be accountable for their own work. Academic dishonesty includes misrepresenting AI-generated work as one’s own.</t>
  </si>
  <si>
    <t>A big resource hub for "learning and teaching"</t>
  </si>
  <si>
    <t xml:space="preserve">Using AI to improve your Language Skills (Teacher Version) </t>
  </si>
  <si>
    <t>https://www.polyu.edu.hk/elc/docdrive/genai_at_elc/Using_AI_to_improve_your_Language_Skills_Teacher_Version.pdf</t>
  </si>
  <si>
    <t xml:space="preserve">The ELC follows the PolyU policy with regard to the use of GenAI tools. In summary, students are accountable for their
own work. You should always refer to Student Information Sheets and ask your teacher to check when you may use
GenAI tools in this subject.
Relying too much on AI can mean that you do not meet the assessment requirements. This will lead to either a low
grade or fail grade for an assessment. </t>
  </si>
  <si>
    <t>"Teacher Version"</t>
  </si>
  <si>
    <t>PolyU School of Design</t>
  </si>
  <si>
    <t>Generative AI Use Guideline &amp; Design Research Integrity</t>
  </si>
  <si>
    <t>PolyU is strongly committed to preserving academic integrity and has a zero-tolerance policy towards academic dishonesty. Do not commit such acts, e.g. cheating, contract cheating,
plagiarism (copying others’ work as your own without full
acknowledgement, including using generative artificial intelligence
(GenAI) tools without proper referencing), impersonation, fabrication
and falsification. So…</t>
  </si>
  <si>
    <t>The slides begin with "What is Research Integrity"</t>
  </si>
  <si>
    <t>PolyU Department of English and Communication</t>
  </si>
  <si>
    <t xml:space="preserve">ChatGPT bases its output on previous word patterns without regard to factual accuracy. Generative AI tools should not be relied on due to AI “hallucination”, which is text that appears convincing, but ultimately factually incorrect upon further checking. This has resulted in punishments for lawyers who used ChatGPT to cite cases that did not exist:
</t>
  </si>
  <si>
    <t>PolyU Department of Building and Real Estate</t>
  </si>
  <si>
    <t>BRE506 (from Programme Requirement Document)</t>
  </si>
  <si>
    <t>https://www.polyu.edu.hk/bre/docdrive/32111-32112-32113_BRE_AY24-25.pdf</t>
  </si>
  <si>
    <t>If students intend to use Generative AI (GenAI) tools for brainstorming or
generating initial ideas, literature search or writing of group assignment
reports, they are required to declare the use of such tools (e.g. ChatGPT,
Poe, Google Bard, Microsoft Bing AI, etc) in preparing their submitted
work, and where and how they have been used, in the preface of their
group report and to submit their interactive chat history file including the
writing prompts with the AI chatbots as written evidence in students’ work
without plagiarism.
If students have adopted AI-generated texts or materials in their work, they must
properly cite and reference them in accordance with accepted academic
conventions and citation styles. Students may refer to the Guidelines for
Students on the Use of Generative Artificial Intelligence (source:
https://www.polyu.edu.hk/ar/students-in-taught-programmes/use-of-genai)
developed by the Academic Registry (AR) of PolyU for reference.</t>
  </si>
  <si>
    <t>Same note for BRE581.
Quite neutral. No penalties mentioned but also no encouraging tone. Just use it with disclosure.</t>
  </si>
  <si>
    <t>BRE533 (from Programme Requirement Document)</t>
  </si>
  <si>
    <t>The generative AI tools (genAI) is not allowed for
(1) functions identification and function analysis;
(2) generating creativity ideas during Value Management workshop
but encouraged for
(1) search for typical examples or cases of value management
(2) helping improve structure, grammar, writing, presentation slides,
etc.</t>
  </si>
  <si>
    <t>A bit more positive than HK-036 (from the same department). "Encouraged" for searching and writing. No requirement or consequences stated.</t>
  </si>
  <si>
    <t xml:space="preserve">ENGL5037 </t>
  </si>
  <si>
    <t>https://www.polyu.edu.hk/engl/-/media/department/engl/content/study/full-subject-list/level-5-subjects/engl5037_20241_v062024.pdf?rev=4b025a9c057a4610ae7412df21ff9f4c&amp;hash=8D2390F6F57D0EBFBD4658D32FC64610</t>
  </si>
  <si>
    <t>ILOs:
Upon completion of the subject, students will be able to:
a. Identify key affordances and limitations related to
generative AI and its usage as an analytical tool.
b. Showcase proficiency in using generative AI as an
analytical tool in various professional contexts.
c. Identify key affordances and limitations of generative AI
as a content generator and as a communicative tool.
d. Showcase proficiency in using generative AI as a contentgenerating tool.
e. Understand the various forms of bias inherent in, and the
relevant concerns with, AI-generated responses.
f. Use generative AI appropriate for creative problemsolving.</t>
  </si>
  <si>
    <t>GenAI is the focus of the course.
The course talks about "affordances and limitations", i.e. what AI can or cannot do as a tool.
No "specific AI policy" stated.</t>
  </si>
  <si>
    <t>MM6452</t>
  </si>
  <si>
    <t>https://www.polyu.edu.hk/mm/-/media/department/mm/content/study/subject-syllabi_tpg/mm6452.pdf</t>
  </si>
  <si>
    <t>Individual AI content design: The individual AI content design assesses students'
comprehension of various aspects, including Generative AI models, multi-mode AI content
generation, and the application and evaluation of AI content in different business scenarios.</t>
  </si>
  <si>
    <t>A very "applied" course on GenAI.
No "specific AI policy" stated.</t>
  </si>
  <si>
    <t xml:space="preserve">COMP5571 </t>
  </si>
  <si>
    <t>https://www.polyu.edu.hk/comp/docdrive/tpg/subject/COMP5571.pdf</t>
  </si>
  <si>
    <t xml:space="preserve">The subject is envisioned for students to embrace and leverage the
potential of Generative Artificial Intelligence (AI). It will primarily
focus on the nature, development, and implications of Generative AI,
its role in innovative research methods, its application across various
disciplines, and its ethical and societal implications. </t>
  </si>
  <si>
    <t>"While Lingnan University enthusiastically embraces innovative technologies in education, it firmly upholds the principle that students must adhere to rigorous standards of academic integrity in all forms of assessments."
"From Term 2, 2024-25, students are allowed to use GAI tools to assist them in preparing assignments, assessments, and other educational practices."</t>
  </si>
  <si>
    <t>teachers can turn it off for their course, students must declare every use, and academic integrity rules still run the show</t>
  </si>
  <si>
    <t xml:space="preserve">Best Practices for Ethical and Responsible Use of Generative Artificial Intelligence (GAI) Tools in Course Assessments
</t>
  </si>
  <si>
    <t>https://www.ln.edu.hk/tlc/f/page/107180/Best%20Practices%20for%20Ethicial%20and%20Responsibilities%20Use%20of%20GAI%20%28Aug%202025%29.pdf</t>
  </si>
  <si>
    <t>To enhance the overall learning experience for our students, Lingnan University has decided to allow the use of ChatGPT and other GAI tools from the 2023-24 academic year. However, users should use these tools responsibly and ethically, and fully understand their potential and limitations. Upholding academic integrity is of utmost importance to all students. This document outlines the principles, practices, and actions that teaching staff and students need to be aware of/take regarding the implications of using GAI tools in course assessments. Students are encouraged to consult with their teaching staff if they have any questions.
Course Assignment and Assessment (Open book) - Unless otherwise specified by the teaching staff, GAI tools are allowed to be used by students.
Course Assessment (Closed book) &amp; Final Examination (Closed book) - Unless otherwise specified by teaching staff, GAI tools are allowed to be used by students.
Students should declare their use of GAI tools and reflect on the process. Students should indicate which GAI tools they have used and explain how the materials generated have been incorporated into their submitted work.</t>
  </si>
  <si>
    <t>The default is: Students are allowed to use GenAI tools. It is repeated multiple times in the full text.</t>
  </si>
  <si>
    <t>Use of Generative Artificial Intelligence (GAI) Tools Term 1 2024-25</t>
  </si>
  <si>
    <t>The first line is "Dear colleagues"
Term 1: The teacher decides whether to allow it or not. Term 2: The university plans to make it universally allowed - teachers should adapt to it in advance.</t>
  </si>
  <si>
    <t>Lingnan U Teaching and Learning Centre</t>
  </si>
  <si>
    <t>Generative Artificial Intelligence</t>
  </si>
  <si>
    <t>https://www.ln.edu.hk/tlc/generative-artificial-intelligence</t>
  </si>
  <si>
    <t>Disclaimer:
Please be aware that artificial intelligence tools may reflect biases present in the data used to train them. These biases can influence the responses provided, potentially leading to incomplete, inaccurate, or skewed information. Always verify critical information from multiple reliable sources and use your judgment when interpreting AI-generated content.
When using open platform AI tools, please ensure adherence to Lingnan University Information Security Data Governance and Protection, and Data Privacy Policy.
For detailed information, please refer to:
Data Governance and Protection; 
Data Privacy and Protection for Lingnan University</t>
  </si>
  <si>
    <t>A resource page for both students and staff. Disclaimer is a very small part of the whole page/site.</t>
  </si>
  <si>
    <t>Lingnan U Academic Quality Assurance Manual</t>
  </si>
  <si>
    <t>Chapter 4 - Quality Assurance and Enhancement of Student Assessment</t>
  </si>
  <si>
    <t>https://www.ln.edu.hk/main/aqa/table-of-contents/chapter-four</t>
  </si>
  <si>
    <t>To enhance the overall learning experience for students, the University has decided to allow the use of ChatGPT and other Generative AI tools from the 2023-24 academic year.
In July 2023, the Teaching and Learning Centre issued the “Best Practices for Ethical and Responsible Use of Generative Artificial Intelligence (GAI) Tools in Course Assessments” which outline the principles, practices, and actions that need to be aware of/taken by course instructors and students regarding the implications of using GAI tools in course assessments. In October 2024, the Senate approved the updated “Best Practices for Ethical and Responsible Use of GAI Tools in Course Assessment” (Appendix I) and the “Guidelines for Using GAI Tools at Lingnan University” (Appendix J) effective from Term 2 of the 2024-25 academic year. Students are allowed to use GAI tools to assist them in preparing assignments, assessments, and other educational practices, provided these tools are used ethically and responsibly, in accordance with the GAI Guidelines. However, teaching staff may still seek prior approval from the relevant Head of Department/Programme Director NOT to allow students to use GAI tools (in part or their entirety) to prepare assignments, assessments, and other educational practices.</t>
  </si>
  <si>
    <t>This is NOT the UGC Audit report.
From the preface:
"Bringing together all the policies, regulations and guidelines pertaining to the assurance and enhancement of academic quality, it is easily available to all relevant staff and students."
The Institutional stance is Encouraging, but teachers can seek approval  NOT to allow  students to use GenAI. "Head of Department/Programme Director" has the final say.</t>
  </si>
  <si>
    <t>Lingnan University
Department of Translation</t>
  </si>
  <si>
    <t>Starting from Term 2 of the 2024-25 academic year, Lingnan students are allowed to use AI tools, but at the same time they need to follow the university's academic and ethical guidelines.
It is agreed by the Department Board that the ceiling cap of AI usage is 40%.* If the AI detection rate
is higher than this, marks will be deducted from students’ work because of lack of originality. Subject
teachers have the discretion to impose a penalty for any AI usage higher than the cap rate.
Faculty members of the Department of Translation are expected to reiterate the University Guidelines
and the Departmental Policy on AI usage to students, while students, both at BA and MA levels, should
follow the University Guidelines and Departmental Policy on AI usage carefully</t>
  </si>
  <si>
    <t>Conditional permission with hard numerical limits and total disclosure — a translation department's pragmatic answer to a tool that can do its students' homework</t>
  </si>
  <si>
    <t>AI Enabled Tools Declaration Form</t>
  </si>
  <si>
    <t>https://view.officeapps.live.com/op/view.aspx?src=https%3A%2F%2Fwww.ln.edu.hk%2Ftran%2Ff%2Fpage%2F116062%2FAI%2520Enabled%2520Tools%2520Declaration%2520Form_Translation_20250922.docx&amp;wdOrigin=BROWSELINK</t>
  </si>
  <si>
    <t>This Declaration Form points back to the Institutional Guidelines (HK-041) and Best Practices (HK-042).</t>
  </si>
  <si>
    <t>Lingnan U
School of Graduate Studies</t>
  </si>
  <si>
    <t>GUIDEBOOK FOR RESEARCH POSTGRADUATE STUDENTS</t>
  </si>
  <si>
    <t>https://www.ln.edu.hk/sgs/f/upload/114745/Guidebook_for_RPg_Students.pdf</t>
  </si>
  <si>
    <t>"It is agreed by the Department Board that the ceiling cap of AI usage is 40%. If the AI detection rate is higher than this, marks will be deducted from students' work because of lack of originality."</t>
  </si>
  <si>
    <t>This is a guidebook from the Grad School.
GAI is mentioned under "Academic Honesty".</t>
  </si>
  <si>
    <t>HK-049</t>
  </si>
  <si>
    <t>Lingnan U Centre for English and Additional
Languages</t>
  </si>
  <si>
    <t xml:space="preserve">Use of Generative AI in Assessed Work
</t>
  </si>
  <si>
    <t>https://www.ln.edu.hk/ceal/f/page/109859/CEAL%20Gen%20AI%20Policy%20for%20students.pdf</t>
  </si>
  <si>
    <t xml:space="preserve">If there is a question over the inappropriate use of GenAI (“authorship”) we will carry out an
investigation. If you are found to, on the balance of probabilities, have used Gen AI inappropriately,
you will be asked to rewrite and resubmit. There will also be a cap on your grade.
For the first time this happens your essay grade will be capped at 60%. The second time the cap will
be 40%. The third time will be raised as a case of academic misconduct to the exam board. Please
note that records will be kept across all LUE courses. This means that if you submit inappropriate
work in LUE1001, and then again in 4001, this will be seen as the second incidence.
You should keep a portfolio of your work (called the “work in progress folder”), including screenshots
of interactions with GenAI, drafts, plans and anything you do in preparation for the assessment. You
will submit all of this as a zip file alongside the essay. This will not be assessed and there is no penalty
for non-submission. However, if there is a question over the authorship of your essay this can be
taken into account.
If you are suspected of using AI inappropriately, the following will happen.
- We will arrange a time to have a meeting. There will be two members of staff in this meeting,
and you can also bring a friend. This friend can give moral support and also help with language, if
needed
- We will ask you questions about your essay and the process of writing it. We will also give
you a chance to explain anything that you think is important. (Please note that not having enough
time is not a reasonable explanation).
- We will then send you an email with our decision.
</t>
  </si>
  <si>
    <t>Pretty negative.</t>
  </si>
  <si>
    <t>HK-050</t>
  </si>
  <si>
    <t>Lingnan University
Department of History</t>
  </si>
  <si>
    <t>Guidelines for Using Generative Artificial Intelligence (GAI) Tools</t>
  </si>
  <si>
    <t>https://www.ln.edu.hk/history/f/upload/105794/345198/HIST%20Departmental%20policy%20on%20GAI%20tools.pdf</t>
  </si>
  <si>
    <t>Starting Term 2, 2024-25, students are permitted to use GAI tools, including editing and spellchecking tools such as Grammarly and DeepL, to assist with their course assignments, provided
they adhere to the University’s guidelines. 
In line with the University’s best practices for the use of GAI tools, our department has
developed additional guidelines. Students must declare the use of GAI tools, specifying which
GAI tools they used and how they utilized them for their assignments. Examples of GAI usage
include brainstorming ideas, generating reference lists, and editing.
Sample Declaration: [cut]
Students should include this declaration in their assignment. Meanwhile, faculty members must
remind students of the University Guidelines and the Departmental Policy on using GAI tools.</t>
  </si>
  <si>
    <t>Built upon the institutional rules.
Starts with how GenAI can be helpful in their work. ("permitted", not encouraged/welcome)
Mentions both students and faculty members.</t>
  </si>
  <si>
    <t>HK-051</t>
  </si>
  <si>
    <t>CDS2002 Course Syllabus</t>
  </si>
  <si>
    <t>This "Intro to AI" course uses the standard template:
https://tlc.ln.edu.hk/SyllabusTool/
Course content is quite hardcore. Lots of advanced Computer Science stuff, not just everyday literacy.</t>
  </si>
  <si>
    <t>HK-052</t>
  </si>
  <si>
    <t xml:space="preserve">CDS3003 Course Syllabus
</t>
  </si>
  <si>
    <t>https://www.ln.edu.hk/sds/dai/ds/f/page/105561/CDS3003%20Machine%20Learning%20%28Required%29.190825.pdf</t>
  </si>
  <si>
    <t>This "Machine Learning" course uses the standard template:
https://tlc.ln.edu.hk/SyllabusTool/
Course content is quite hardcore. Lots of advanced Computer Science stuff, not just everyday literacy.</t>
  </si>
  <si>
    <t>HK-053</t>
  </si>
  <si>
    <t>Lingnan U
Faculty of Business</t>
  </si>
  <si>
    <t>Master of Science in Artificial Intelligence and Business Analytics Student Handbook</t>
  </si>
  <si>
    <t>2023?</t>
  </si>
  <si>
    <t>https://www.ln.edu.hk/sds/dai/mscaiba/f/page/72803/MScAIBA%20-%20Student%20Handbook%202023-24.pdf</t>
  </si>
  <si>
    <t>7.2.1 Use of Advanced Technologies
To support the University's strategy on use of advanced technologies such as ChatGPT and other generative AI tools to facilitate learning, ITSC launched the ChatGPT service that is built on Microsoft's Open AI services. Users should agree to the terms and conditions to ensure that tool is used appropriately and effectively while adhering to strict academic integrity standards. Details of the terms and conditions: https://chatgpt.In.edu.hk/. Please also refer to the the Best Practices for Ethical and Responsible Use of Generative Artificial Intelligence (AI) Tools in Course Assessments on TLC's website:
https://www.ln.edu.hk/f/upload/84485/AI%20Practice_updated%2024%20Jul%202023_final.pdf</t>
  </si>
  <si>
    <t>This Master Programme document directs readers to (an earlier version of) the Institutional Best Practice document (HK-042).</t>
  </si>
  <si>
    <t>HK-054</t>
  </si>
  <si>
    <t>SPA1302 Course Syllabus</t>
  </si>
  <si>
    <t>https://www.ln.edu.hk/ceal/f/page/109868/SPA1302.pdf</t>
  </si>
  <si>
    <t>(5) Students must adhere to the University’s guidelines and practices when using Generative
Artificial Intelligence (AI) tools. The official documents “Guidelines for Using GAI Tools at Lingnan
University” and “Best Practices for Ethical and Responsible Use of GAI Tools in Course
Assessments” can be found here: https://www.ln.edu.hk/tlc/generative-artificial-intelligence/gaiguidelines-best-practices.
Use of Generative AI
At CEAL we adopt a forward thinking and pragmatic approach to the use of Generative AI by
students.
Each assessment will carry guidelines about what type of AI use is acceptable. If you cannot find
these, or if they are unclear, please ask your teacher.
If there is a question over the inappropriate use of GenAI (“authorship”) we will carry out an
investigation. If you are found to, on the balance of probabilities, have used Gen AI
inappropriately, you will be asked to rewrite and resubmit. There will also be a cap on your grade
More information can be found at: CEAL Gen AI Policy for
students.pdf</t>
  </si>
  <si>
    <t>In addition to the template message, the CEAL adoption (HK-049) is mentioned.
Each assessment will have its specific GenAI guidelines. It is phrased as if students are expected to use GenAI, but we cannot be sure unless we see the actual assessments.
If we read HK-049, the requirements and penalties are pretty harsh. But those are not mentioned in this syllabus document.</t>
  </si>
  <si>
    <t>HK-055</t>
  </si>
  <si>
    <t>CCC8013 Course Syllabus</t>
  </si>
  <si>
    <t>https://www.ln.edu.hk/dos/f/upload/109663/CCC8013%20The%20Process%20of%20Science%20-%20Revised%20Syllabus%20%20Rubrics_20240807.pdf</t>
  </si>
  <si>
    <t>5. Students are allowed to employ AI-enabled tools in their course assignments of Tech
Report and Group Presentation. Declaration of the use of Generative AI tools and the
explanation how the generated materials have been incorporated into the assignments
should be included in the submitted assignments. Besides, students should reference the
Generative AI generated materials in their work with accepted academic conventions</t>
  </si>
  <si>
    <t>This is a rare case where the statement details what students are allowed to do with AI.
Does NOT use the standard template.
Consequences are not mentioned.</t>
  </si>
  <si>
    <t>Codebook</t>
  </si>
  <si>
    <t>Option</t>
  </si>
  <si>
    <t>Definition</t>
  </si>
  <si>
    <t>Example</t>
  </si>
  <si>
    <t>Issued by a central government body with country-wide authority. NYC = US federal bodies; HK = PRC central government bodies.</t>
  </si>
  <si>
    <t>Central government policy (U.S. federal / China national).</t>
  </si>
  <si>
    <t>City/ Territory</t>
  </si>
  <si>
    <t>Issued by a subnational government body below national level but above any single institution. NYC = New York State and NYC bodies; HK = HKSAR government bodies.</t>
  </si>
  <si>
    <t>Subnational government policy (New York State / HKSAR, EDB, UGC).</t>
  </si>
  <si>
    <t>Issued by a university-wide body. Applies to all members of that institution regardless of faculty or department.</t>
  </si>
  <si>
    <t>University-wide policy (e.g. Columbia, HKU).</t>
  </si>
  <si>
    <t>Issued by a sub-unit of a university. Applies only within that school, faculty, or department.</t>
  </si>
  <si>
    <t>Guidelines set by Faculty or Department.</t>
  </si>
  <si>
    <t>Issued by an individual instructor. Applies only to enrolled students in a single course for a specific term.</t>
  </si>
  <si>
    <t>Individual course syllabus or instructor-set rule.</t>
  </si>
  <si>
    <t>Explicitly bans GenAI use.</t>
  </si>
  <si>
    <t>"strictly prohibited," "not permitted," "banned," "do not use," "prohibited in this class"</t>
  </si>
  <si>
    <t>Allows use but imposes conditions (permission / disclosure / citation).</t>
  </si>
  <si>
    <t>"use with caution," "risks must be considered," "only with permission," "be aware of limitations," "potential for misuse"</t>
  </si>
  <si>
    <t xml:space="preserve">Functional
</t>
  </si>
  <si>
    <t xml:space="preserve">Use is accepted or recognized as a tool (like a calculator), focused on the use of AI and its function rather than whether is good or bad
</t>
  </si>
  <si>
    <t>"may be used," "is permitted," "cite as you would any source," "use responsibly," "tools are available"</t>
  </si>
  <si>
    <t>Use is promoted as a benefit to learning or a partner,</t>
  </si>
  <si>
    <t>"encouraged," "harness the potential," "embrace," "AI-powered," "empowering," "reap the benefits"</t>
  </si>
  <si>
    <t>Students must cite, acknowledge, or declare GenAI use.</t>
  </si>
  <si>
    <t>"must," "shall," "required to"</t>
  </si>
  <si>
    <t>Disclosure is suggested but not required.</t>
  </si>
  <si>
    <t>"should," "encouraged to"</t>
  </si>
  <si>
    <t xml:space="preserve">Conditional </t>
  </si>
  <si>
    <t xml:space="preserve">Required only for specific tasks (e.g., more than 10% text).
</t>
  </si>
  <si>
    <t>"if you use AI, you must..."</t>
  </si>
  <si>
    <t>No statement about disclosure.</t>
  </si>
  <si>
    <t>Government-mandated</t>
  </si>
  <si>
    <t>Issued by a government body external to the university</t>
  </si>
  <si>
    <t>Institution mandated</t>
  </si>
  <si>
    <t>Issued by a university-wide body (provost, senate, registry)</t>
  </si>
  <si>
    <t>Issued by a sub-unit of the university (school, department)</t>
  </si>
  <si>
    <t>Each instructor sets the rule at the course level. Individual course syllabus or instructor statement</t>
  </si>
  <si>
    <t>The institution establishes a baseline policy (floor) that all must follow, while explicitly delegating additional or more specific rules to faculty or instructors at the course level. Both levels of governance are active simultaneously.</t>
  </si>
  <si>
    <t>Resource guide with no enforceable rule.</t>
  </si>
  <si>
    <t>Focus</t>
  </si>
  <si>
    <t>Primary concern is cheating, plagiarism, authorship, citation, or whether student work reflects the student’s own understanding.</t>
  </si>
  <si>
    <t>“Use of AI without disclosure will be treated as academic dishonesty.”</t>
  </si>
  <si>
    <t>Primary concern is effective, critical, ethical, and responsible AI use, including understanding AI’s limits, biases, errors, and appropriate applications.</t>
  </si>
  <si>
    <t>“Students will learn how to evaluate AI outputs and use GenAI responsibly.”</t>
  </si>
  <si>
    <t>Privacy/Data/ Ethics</t>
  </si>
  <si>
    <t>Primary concern is data protection, FERPA, confidentiality, cybersecurity, or avoiding the input of personal, sensitive, or institutional data into AI tools.</t>
  </si>
  <si>
    <t>“Do not enter confidential, personal, or student data into public AI tools.”</t>
  </si>
  <si>
    <t>Primary concern is fair access, bias, discrimination, accessibility, or unequal effects across student groups.</t>
  </si>
  <si>
    <t>“AI tools should be used in ways that do not disadvantage students with limited access or produce biased outcomes.”</t>
  </si>
  <si>
    <t xml:space="preserve">Pedagogy/Learning
</t>
  </si>
  <si>
    <t>Primary concern is teaching, learning, assessment design, student thinking, feedback, creativity, or how AI affects the learning process.</t>
  </si>
  <si>
    <t>“AI may be used for brainstorming, outlining, or feedback, but students remain responsible for their learning.”</t>
  </si>
  <si>
    <t xml:space="preserve">Professional Readiness
</t>
  </si>
  <si>
    <t>Primary concern is preparing students, faculty, workers, or institutions for AI-related skills needed in future careers, research, or society.</t>
  </si>
  <si>
    <t>“Students should learn to use AI tools because they are increasingly part of professional practice.”</t>
  </si>
  <si>
    <t>A specific consequence for non-compliance is named directly in the document. The reader does not need to consult another document to understand what happens if they violate the rule.</t>
  </si>
  <si>
    <t>"will be considered academic misconduct," "marks will be deducted," "failing grade," "strictly prohibited… violations"</t>
  </si>
  <si>
    <t>No penalty is stated directly. The document points to an existing integrity policy or university regulation where consequences are defined.</t>
  </si>
  <si>
    <t>"in accordance with the university's academic integrity policy," "subject to disciplinary action under," "refer to the student handbook"</t>
  </si>
  <si>
    <t>Recommendations or best practices with no connection to a penalty or integrity code. Non-compliance carries no stated formal consequence.</t>
  </si>
  <si>
    <t>"we recommend," "should consider," "best practice," "encouraged to," "guidance is designed to help"</t>
  </si>
  <si>
    <t>The document addresses GenAI but contains no reference to enforcement, penalties, integrity codes, or compliance of any kind. Includes purely descriptive, resource-based, or aspirational documents.</t>
  </si>
  <si>
    <t>The document addresses student behavior and obligations exclusively. Instructors appear only as enforcers, not as a governed audience.</t>
  </si>
  <si>
    <t>"students are required," "students must," "student use of," "student submissions"</t>
  </si>
  <si>
    <t>The document addresses instructor decisions and practice exclusively. Students appear only as the subjects of those decisions, not as a governed audience.</t>
  </si>
  <si>
    <t>"instructors should," "faculty are encouraged," "for teachers," "when designing assignments"</t>
  </si>
  <si>
    <t>The document explicitly addresses both instructors and students as governed audiences. Both groups have obligations or guidance directed at them.</t>
  </si>
  <si>
    <t>"students and staff," "faculty and students," "the course instructor… students should"</t>
  </si>
  <si>
    <t>The document addresses research practice exclusively. Teaching, learning, and student behavior are outside its scope.</t>
  </si>
  <si>
    <t>"research outputs," "data collection," "publications," "research integrity," "supervisor approval"</t>
  </si>
  <si>
    <t>The document addresses all institutional or societal members including administrative staff, researchers, and the general public. Not only for just the teaching and learning relationship.</t>
  </si>
  <si>
    <t>"all community members," "City personnel," "agencies," "the public," "all staff and students," "society"</t>
  </si>
  <si>
    <t>Stance #</t>
  </si>
  <si>
    <t>Tier #</t>
  </si>
  <si>
    <t>Governance Domain</t>
  </si>
  <si>
    <t>AVERAGE of Stance #</t>
  </si>
  <si>
    <t>COUNTA of ID</t>
  </si>
  <si>
    <t>Grand Total</t>
  </si>
  <si>
    <t>Hong Kong Total</t>
  </si>
  <si>
    <t>NYC Total</t>
  </si>
  <si>
    <t>Quantitative Dashboard — Auto-Calculated</t>
  </si>
  <si>
    <t>All counts pull from the NYC and HK coding tabs via COUNTIFS. No need to edit this tab — it updates automatically.</t>
  </si>
  <si>
    <t>Table 1 — Policy Stance by Tier and Region</t>
  </si>
  <si>
    <t>Total (coded)</t>
  </si>
  <si>
    <t>External</t>
  </si>
  <si>
    <t>HK</t>
  </si>
  <si>
    <t>Internal</t>
  </si>
  <si>
    <t>Excluded (no AI)</t>
  </si>
  <si>
    <t>Table 2 — Disclosure Requirements by Region</t>
  </si>
  <si>
    <t>Not mentioned</t>
  </si>
  <si>
    <t>Total</t>
  </si>
  <si>
    <t>Table 3 — Who Decides the Rule (Discretion)</t>
  </si>
  <si>
    <t>Table 4 — Primary Focus of Policies</t>
  </si>
  <si>
    <t>Table 5 — Sample Size Tracker</t>
  </si>
  <si>
    <t>Documents coded</t>
  </si>
  <si>
    <t>Target minimum</t>
  </si>
  <si>
    <t>Status</t>
  </si>
  <si>
    <t>Table 6 - Document type</t>
  </si>
  <si>
    <t>Syllabus Library</t>
  </si>
  <si>
    <t>Table 7 - Enforcement</t>
  </si>
  <si>
    <t>Table 8 - Coverage</t>
  </si>
  <si>
    <t>Dashboard after exclusion</t>
  </si>
  <si>
    <t>QS (2026)</t>
  </si>
  <si>
    <t>QS Size Class</t>
  </si>
  <si>
    <t>Total Faculty Staff</t>
  </si>
  <si>
    <t>XL</t>
  </si>
  <si>
    <t>L</t>
  </si>
  <si>
    <t>S</t>
  </si>
  <si>
    <t>* 701-710</t>
  </si>
  <si>
    <t>Syllabus (raw)</t>
  </si>
  <si>
    <t>With AI statements</t>
  </si>
  <si>
    <t>%</t>
  </si>
  <si>
    <t>NYC Syllabi Libraries</t>
  </si>
  <si>
    <t>NYU — Many Courses</t>
  </si>
  <si>
    <t>Law School Syllabi</t>
  </si>
  <si>
    <t>https://its.law.nyu.edu/faculty/coursepages/index.cfm?action=home.main&amp;semester=Fall%202025&amp;TermYear=2025-2026</t>
  </si>
  <si>
    <t>CUNY — Many Courses</t>
  </si>
  <si>
    <t>Various Courses</t>
  </si>
  <si>
    <t>https://opened.cuny.edu/curated-collections/55?batch_start=440</t>
  </si>
  <si>
    <t>https://syllabusdb.com/</t>
  </si>
  <si>
    <t>Chinese University of Hong Kong (CUHK)</t>
  </si>
  <si>
    <t>Use of Artificial Intelligence Tools in Teaching, Learning and Assessments
A Guide for Students</t>
  </si>
  <si>
    <t>https://www.aqs.cuhk.edu.hk/documents/A-guide-for-students_use-of-AI-tools.pdf</t>
  </si>
  <si>
    <t>Hong Kong University of Science and Technology (HKUST)</t>
  </si>
  <si>
    <t>Guidelines and Policies — CEI, HKUST</t>
  </si>
  <si>
    <t>https://cei.hkust.edu.hk/en-hk/education-innovation/generative-ai-education/guidelines-and-policies</t>
  </si>
  <si>
    <t>Hong Kong Metropolitan University</t>
  </si>
  <si>
    <t>Guidelines for the Use of Generative AI (for Students)</t>
  </si>
  <si>
    <t>https://www.hkmu.edu.hk/REG/reg_comm/Guidelines%20for%20the%20Use%20of%20Generative%20AI_ENG.pdf</t>
  </si>
  <si>
    <t>The Hang Seng University of Hong Kong</t>
  </si>
  <si>
    <t>Generative AI in Teaching and Learning</t>
  </si>
  <si>
    <t>https://ctl.hsu.edu.hk/generative-ai-in-teaching-and-learning/</t>
  </si>
  <si>
    <t>UGC (QAC)</t>
  </si>
  <si>
    <t>Audit Manual</t>
  </si>
  <si>
    <t>https://www.ugc.edu.hk/doc/eng/qac/manual/auditmanual.pdf</t>
  </si>
  <si>
    <t>Report of Quality Audit of HKU</t>
  </si>
  <si>
    <t>https://www.ugc.edu.hk/doc/eng/qac/report/hku202409e.pdf</t>
  </si>
  <si>
    <t>Report of Quality Audit of PolyU</t>
  </si>
  <si>
    <t>https://www.ugc.edu.hk/doc/eng/qac/report/polyu202411e.pdf</t>
  </si>
  <si>
    <t>Report of Quality Audit of Lingnan University</t>
  </si>
  <si>
    <t>https://www.ugc.edu.hk/doc/eng/qac/report/lu202506e.pdf</t>
  </si>
  <si>
    <t>"Since September 2023, students have been permitted to use ChatGPT for preparing assignments, conditional upon a self-declaration in which students describe how GenAI has been applied in their work.”</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</si>
</sst>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m-dd"/>
    <numFmt numFmtId="165" formatCode="mm/dd"/>
    <numFmt numFmtId="166" formatCode="yyyy-mm"/>
    <numFmt numFmtId="167" formatCode="M/d/yyyy"/>
    <numFmt numFmtId="168" formatCode="m/d"/>
    <numFmt numFmtId="169" formatCode="yyyy-m"/>
    <numFmt numFmtId="170" formatCode="m/d/yyyy"/>
    <numFmt numFmtId="171" formatCode="0.0"/>
    <numFmt numFmtId="172" formatCode="0.0%"/>
  </numFmts>
  <fonts count="39">
    <font>
      <sz val="11.0"/>
      <color theme="1"/>
      <name val="Calibri"/>
      <scheme val="minor"/>
    </font>
    <font>
      <b/>
      <sz val="16.0"/>
      <color rgb="FF1F4E78"/>
      <name val="Arial"/>
    </font>
    <font>
      <i/>
      <sz val="10.0"/>
      <color rgb="FF555555"/>
      <name val="Arial"/>
    </font>
    <font>
      <b/>
      <sz val="11.0"/>
      <color rgb="FFFFFFFF"/>
      <name val="Calibri"/>
    </font>
    <font>
      <b/>
      <sz val="11.0"/>
      <color rgb="FFFFFFFF"/>
      <name val="Arial"/>
    </font>
    <font>
      <b/>
      <color theme="1"/>
      <name val="Calibri"/>
    </font>
    <font>
      <sz val="11.0"/>
      <color theme="1"/>
      <name val="Calibri"/>
    </font>
    <font>
      <sz val="10.0"/>
      <color theme="1"/>
      <name val="Arial"/>
    </font>
    <font>
      <u/>
      <sz val="10.0"/>
      <color rgb="FF0000FF"/>
      <name val="Arial"/>
    </font>
    <font>
      <u/>
      <sz val="10.0"/>
      <color theme="1"/>
      <name val="Arial"/>
    </font>
    <font>
      <color theme="1"/>
      <name val="Calibri"/>
    </font>
    <font>
      <u/>
      <sz val="10.0"/>
      <color theme="1"/>
      <name val="Arial"/>
    </font>
    <font>
      <u/>
      <sz val="12.0"/>
      <color rgb="FF000000"/>
      <name val="Times"/>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b/>
      <sz val="12.0"/>
      <color rgb="FF1F4E78"/>
      <name val="Arial"/>
    </font>
    <font/>
    <font>
      <b/>
      <sz val="11.0"/>
      <color theme="1"/>
      <name val="Arial"/>
    </font>
    <font>
      <sz val="11.0"/>
      <color theme="1"/>
      <name val="Arial"/>
    </font>
    <font>
      <b/>
      <sz val="11.0"/>
      <color rgb="FF000000"/>
      <name val="Arial"/>
    </font>
    <font>
      <b/>
      <sz val="10.0"/>
      <color theme="1"/>
      <name val="Arial"/>
    </font>
    <font>
      <color rgb="FF000000"/>
      <name val="Arial"/>
    </font>
    <font>
      <color rgb="FF000000"/>
      <name val="Calibri"/>
    </font>
    <font>
      <b/>
      <sz val="12.0"/>
      <color theme="1"/>
      <name val="Calibri"/>
    </font>
    <font>
      <u/>
      <color rgb="FF0000FF"/>
    </font>
    <font>
      <u/>
      <color theme="1"/>
      <name val="Calibri"/>
    </font>
    <font>
      <u/>
      <color rgb="FF0000FF"/>
    </font>
    <font>
      <color theme="1"/>
      <name val="Calibri"/>
      <scheme val="minor"/>
    </font>
    <font>
      <b/>
      <sz val="15.0"/>
      <color theme="1"/>
      <name val="Calibri"/>
    </font>
    <font>
      <color theme="1"/>
      <name val="Arial"/>
    </font>
    <font>
      <u/>
      <color rgb="FF0000FF"/>
      <name val="Arial"/>
    </font>
  </fonts>
  <fills count="21">
    <fill>
      <patternFill patternType="none"/>
    </fill>
    <fill>
      <patternFill patternType="lightGray"/>
    </fill>
    <fill>
      <patternFill patternType="solid">
        <fgColor rgb="FF1F4E78"/>
        <bgColor rgb="FF1F4E78"/>
      </patternFill>
    </fill>
    <fill>
      <patternFill patternType="solid">
        <fgColor rgb="FF4A86E8"/>
        <bgColor rgb="FF4A86E8"/>
      </patternFill>
    </fill>
    <fill>
      <patternFill patternType="solid">
        <fgColor rgb="FFFFE599"/>
        <bgColor rgb="FFFFE599"/>
      </patternFill>
    </fill>
    <fill>
      <patternFill patternType="solid">
        <fgColor rgb="FFD9EAD3"/>
        <bgColor rgb="FFD9EAD3"/>
      </patternFill>
    </fill>
    <fill>
      <patternFill patternType="solid">
        <fgColor rgb="FFFCE5CD"/>
        <bgColor rgb="FFFCE5CD"/>
      </patternFill>
    </fill>
    <fill>
      <patternFill patternType="solid">
        <fgColor rgb="FFD9D2E9"/>
        <bgColor rgb="FFD9D2E9"/>
      </patternFill>
    </fill>
    <fill>
      <patternFill patternType="solid">
        <fgColor rgb="FFC9DAF8"/>
        <bgColor rgb="FFC9DAF8"/>
      </patternFill>
    </fill>
    <fill>
      <patternFill patternType="solid">
        <fgColor rgb="FFF9CB9C"/>
        <bgColor rgb="FFF9CB9C"/>
      </patternFill>
    </fill>
    <fill>
      <patternFill patternType="solid">
        <fgColor rgb="FFF4CCCC"/>
        <bgColor rgb="FFF4CCCC"/>
      </patternFill>
    </fill>
    <fill>
      <patternFill patternType="solid">
        <fgColor rgb="FFFFF2CC"/>
        <bgColor rgb="FFFFF2CC"/>
      </patternFill>
    </fill>
    <fill>
      <patternFill patternType="solid">
        <fgColor rgb="FF00FF00"/>
        <bgColor rgb="FF00FF00"/>
      </patternFill>
    </fill>
    <fill>
      <patternFill patternType="solid">
        <fgColor rgb="FFFFFF00"/>
        <bgColor rgb="FFFFFF00"/>
      </patternFill>
    </fill>
    <fill>
      <patternFill patternType="solid">
        <fgColor rgb="FF93C47D"/>
        <bgColor rgb="FF93C47D"/>
      </patternFill>
    </fill>
    <fill>
      <patternFill patternType="solid">
        <fgColor rgb="FFB4A7D6"/>
        <bgColor rgb="FFB4A7D6"/>
      </patternFill>
    </fill>
    <fill>
      <patternFill patternType="solid">
        <fgColor rgb="FFEA9999"/>
        <bgColor rgb="FFEA9999"/>
      </patternFill>
    </fill>
    <fill>
      <patternFill patternType="solid">
        <fgColor rgb="FFD5A6BD"/>
        <bgColor rgb="FFD5A6BD"/>
      </patternFill>
    </fill>
    <fill>
      <patternFill patternType="solid">
        <fgColor rgb="FFA2C4C9"/>
        <bgColor rgb="FFA2C4C9"/>
      </patternFill>
    </fill>
    <fill>
      <patternFill patternType="solid">
        <fgColor rgb="FFB6D7A8"/>
        <bgColor rgb="FFB6D7A8"/>
      </patternFill>
    </fill>
    <fill>
      <patternFill patternType="solid">
        <fgColor rgb="FF666666"/>
        <bgColor rgb="FF666666"/>
      </patternFill>
    </fill>
  </fills>
  <borders count="11">
    <border/>
    <border>
      <left style="thin">
        <color rgb="FFB0B0B0"/>
      </left>
      <right style="thin">
        <color rgb="FFB0B0B0"/>
      </right>
      <top style="thin">
        <color rgb="FFB0B0B0"/>
      </top>
      <bottom style="thin">
        <color rgb="FFB0B0B0"/>
      </bottom>
    </border>
    <border>
      <left/>
      <top/>
      <bottom/>
    </border>
    <border>
      <top/>
      <bottom/>
    </border>
    <border>
      <left style="thin">
        <color rgb="FF000000"/>
      </left>
      <right style="thin">
        <color rgb="FF000000"/>
      </right>
      <top style="thin">
        <color rgb="FF000000"/>
      </top>
      <bottom style="thin">
        <color rgb="FF000000"/>
      </bottom>
    </border>
    <border>
      <left style="thin">
        <color rgb="FFB0B0B0"/>
      </left>
      <right style="thin">
        <color rgb="FFB0B0B0"/>
      </right>
      <top style="thin">
        <color rgb="FFB0B0B0"/>
      </top>
    </border>
    <border>
      <left style="thin">
        <color rgb="FFB0B0B0"/>
      </left>
      <top style="thin">
        <color rgb="FFB0B0B0"/>
      </top>
    </border>
    <border>
      <right style="thin">
        <color rgb="FFB0B0B0"/>
      </right>
      <top style="thin">
        <color rgb="FFB0B0B0"/>
      </top>
    </border>
    <border>
      <left style="thin">
        <color rgb="FFB0B0B0"/>
      </left>
      <right style="thin">
        <color rgb="FFB0B0B0"/>
      </right>
    </border>
    <border>
      <left style="thin">
        <color rgb="FFB0B0B0"/>
      </left>
    </border>
    <border>
      <right style="thin">
        <color rgb="FFB0B0B0"/>
      </right>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0" fillId="0" fontId="1" numFmtId="0" xfId="0" applyFont="1"/>
    <xf borderId="0" fillId="0" fontId="2" numFmtId="0" xfId="0" applyFont="1"/>
    <xf borderId="1" fillId="0" fontId="3"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0" fillId="0" fontId="5" numFmtId="0" xfId="0" applyAlignment="1" applyFont="1">
      <alignment shrinkToFit="0" wrapText="1"/>
    </xf>
    <xf borderId="1" fillId="2" fontId="3" numFmtId="0" xfId="0" applyAlignment="1" applyBorder="1" applyFill="1" applyFont="1">
      <alignment horizontal="center" shrinkToFit="0" vertical="center" wrapText="1"/>
    </xf>
    <xf borderId="1" fillId="2" fontId="4" numFmtId="0" xfId="0" applyAlignment="1" applyBorder="1" applyFont="1">
      <alignment horizontal="center" shrinkToFit="0" vertical="center" wrapText="1"/>
    </xf>
    <xf borderId="0" fillId="3" fontId="5" numFmtId="0" xfId="0" applyAlignment="1" applyFill="1" applyFont="1">
      <alignment shrinkToFit="0" wrapText="1"/>
    </xf>
    <xf borderId="1" fillId="0" fontId="6" numFmtId="0" xfId="0" applyAlignment="1" applyBorder="1" applyFont="1">
      <alignment horizontal="left" shrinkToFit="0" vertical="top" wrapText="1"/>
    </xf>
    <xf borderId="1" fillId="0" fontId="7" numFmtId="0" xfId="0" applyAlignment="1" applyBorder="1" applyFont="1">
      <alignment horizontal="left" shrinkToFit="0" vertical="top" wrapText="1"/>
    </xf>
    <xf borderId="1" fillId="0" fontId="7" numFmtId="164" xfId="0" applyAlignment="1" applyBorder="1" applyFont="1" applyNumberFormat="1">
      <alignment horizontal="left" shrinkToFit="0" vertical="top" wrapText="1"/>
    </xf>
    <xf borderId="1" fillId="0" fontId="8" numFmtId="0" xfId="0" applyAlignment="1" applyBorder="1" applyFont="1">
      <alignment horizontal="left" shrinkToFit="0" vertical="top" wrapText="1"/>
    </xf>
    <xf borderId="1" fillId="0" fontId="7" numFmtId="165" xfId="0" applyAlignment="1" applyBorder="1" applyFont="1" applyNumberFormat="1">
      <alignment horizontal="left" shrinkToFit="0" vertical="top" wrapText="1"/>
    </xf>
    <xf borderId="0" fillId="0" fontId="6" numFmtId="0" xfId="0" applyFont="1"/>
    <xf borderId="1" fillId="0" fontId="7" numFmtId="166" xfId="0" applyAlignment="1" applyBorder="1" applyFont="1" applyNumberFormat="1">
      <alignment horizontal="left" shrinkToFit="0" vertical="top" wrapText="1"/>
    </xf>
    <xf borderId="0" fillId="0" fontId="7" numFmtId="0" xfId="0" applyAlignment="1" applyFont="1">
      <alignment horizontal="left" shrinkToFit="0" vertical="top" wrapText="1"/>
    </xf>
    <xf borderId="1" fillId="0" fontId="9" numFmtId="0" xfId="0" applyAlignment="1" applyBorder="1" applyFont="1">
      <alignment horizontal="left" shrinkToFit="0" vertical="top" wrapText="1"/>
    </xf>
    <xf borderId="0" fillId="0" fontId="10" numFmtId="0" xfId="0" applyFont="1"/>
    <xf borderId="0" fillId="0" fontId="11" numFmtId="0" xfId="0" applyAlignment="1" applyFont="1">
      <alignment horizontal="left" shrinkToFit="0" vertical="top" wrapText="1"/>
    </xf>
    <xf borderId="0" fillId="0" fontId="12" numFmtId="0" xfId="0" applyFont="1"/>
    <xf borderId="1" fillId="2" fontId="4" numFmtId="0" xfId="0" applyAlignment="1" applyBorder="1" applyFont="1">
      <alignment horizontal="center" shrinkToFit="0" vertical="center" wrapText="0"/>
    </xf>
    <xf borderId="0" fillId="4" fontId="5" numFmtId="0" xfId="0" applyAlignment="1" applyFill="1" applyFont="1">
      <alignment shrinkToFit="0" wrapText="1"/>
    </xf>
    <xf borderId="1" fillId="5" fontId="6" numFmtId="0" xfId="0" applyAlignment="1" applyBorder="1" applyFill="1" applyFont="1">
      <alignment horizontal="left" shrinkToFit="0" vertical="top" wrapText="1"/>
    </xf>
    <xf borderId="1" fillId="5" fontId="7" numFmtId="0" xfId="0" applyAlignment="1" applyBorder="1" applyFont="1">
      <alignment horizontal="left" shrinkToFit="0" vertical="top" wrapText="1"/>
    </xf>
    <xf borderId="1" fillId="5" fontId="7" numFmtId="167" xfId="0" applyAlignment="1" applyBorder="1" applyFont="1" applyNumberFormat="1">
      <alignment horizontal="left" shrinkToFit="0" vertical="top" wrapText="1"/>
    </xf>
    <xf borderId="1" fillId="5" fontId="13" numFmtId="0" xfId="0" applyAlignment="1" applyBorder="1" applyFont="1">
      <alignment horizontal="left" shrinkToFit="0" vertical="top" wrapText="1"/>
    </xf>
    <xf borderId="1" fillId="5" fontId="7" numFmtId="0" xfId="0" applyAlignment="1" applyBorder="1" applyFont="1">
      <alignment horizontal="left" shrinkToFit="0" vertical="top" wrapText="0"/>
    </xf>
    <xf borderId="1" fillId="5" fontId="7" numFmtId="165" xfId="0" applyAlignment="1" applyBorder="1" applyFont="1" applyNumberFormat="1">
      <alignment horizontal="left" shrinkToFit="0" vertical="top" wrapText="1"/>
    </xf>
    <xf borderId="0" fillId="5" fontId="10" numFmtId="0" xfId="0" applyFont="1"/>
    <xf borderId="0" fillId="5" fontId="10" numFmtId="0" xfId="0" applyAlignment="1" applyFont="1">
      <alignment vertical="top"/>
    </xf>
    <xf borderId="1" fillId="6" fontId="6" numFmtId="0" xfId="0" applyAlignment="1" applyBorder="1" applyFill="1" applyFont="1">
      <alignment horizontal="left" shrinkToFit="0" vertical="top" wrapText="1"/>
    </xf>
    <xf borderId="1" fillId="6" fontId="7" numFmtId="0" xfId="0" applyAlignment="1" applyBorder="1" applyFont="1">
      <alignment horizontal="left" shrinkToFit="0" vertical="top" wrapText="1"/>
    </xf>
    <xf borderId="1" fillId="6" fontId="14" numFmtId="0" xfId="0" applyAlignment="1" applyBorder="1" applyFont="1">
      <alignment horizontal="left" shrinkToFit="0" vertical="top" wrapText="1"/>
    </xf>
    <xf borderId="1" fillId="6" fontId="7" numFmtId="0" xfId="0" applyAlignment="1" applyBorder="1" applyFont="1">
      <alignment horizontal="left" shrinkToFit="0" vertical="top" wrapText="0"/>
    </xf>
    <xf borderId="1" fillId="6" fontId="7" numFmtId="165" xfId="0" applyAlignment="1" applyBorder="1" applyFont="1" applyNumberFormat="1">
      <alignment horizontal="left" shrinkToFit="0" vertical="top" wrapText="1"/>
    </xf>
    <xf borderId="0" fillId="6" fontId="10" numFmtId="0" xfId="0" applyFont="1"/>
    <xf borderId="1" fillId="6" fontId="7" numFmtId="167" xfId="0" applyAlignment="1" applyBorder="1" applyFont="1" applyNumberFormat="1">
      <alignment horizontal="left" shrinkToFit="0" vertical="top" wrapText="1"/>
    </xf>
    <xf borderId="1" fillId="7" fontId="6" numFmtId="0" xfId="0" applyAlignment="1" applyBorder="1" applyFill="1" applyFont="1">
      <alignment horizontal="left" shrinkToFit="0" vertical="top" wrapText="1"/>
    </xf>
    <xf borderId="1" fillId="7" fontId="7" numFmtId="0" xfId="0" applyAlignment="1" applyBorder="1" applyFont="1">
      <alignment horizontal="left" shrinkToFit="0" vertical="top" wrapText="1"/>
    </xf>
    <xf borderId="1" fillId="7" fontId="7" numFmtId="167" xfId="0" applyAlignment="1" applyBorder="1" applyFont="1" applyNumberFormat="1">
      <alignment horizontal="left" shrinkToFit="0" vertical="top" wrapText="1"/>
    </xf>
    <xf borderId="1" fillId="7" fontId="15" numFmtId="0" xfId="0" applyAlignment="1" applyBorder="1" applyFont="1">
      <alignment horizontal="left" shrinkToFit="0" vertical="top" wrapText="1"/>
    </xf>
    <xf borderId="1" fillId="7" fontId="7" numFmtId="0" xfId="0" applyAlignment="1" applyBorder="1" applyFont="1">
      <alignment horizontal="left" shrinkToFit="0" vertical="top" wrapText="0"/>
    </xf>
    <xf borderId="1" fillId="7" fontId="7" numFmtId="165" xfId="0" applyAlignment="1" applyBorder="1" applyFont="1" applyNumberFormat="1">
      <alignment horizontal="left" shrinkToFit="0" vertical="top" wrapText="1"/>
    </xf>
    <xf borderId="0" fillId="7" fontId="10" numFmtId="0" xfId="0" applyFont="1"/>
    <xf borderId="0" fillId="7" fontId="6" numFmtId="0" xfId="0" applyFont="1"/>
    <xf borderId="1" fillId="0" fontId="7" numFmtId="0" xfId="0" applyAlignment="1" applyBorder="1" applyFont="1">
      <alignment horizontal="left" shrinkToFit="0" vertical="top" wrapText="0"/>
    </xf>
    <xf borderId="1" fillId="0" fontId="7" numFmtId="167" xfId="0" applyAlignment="1" applyBorder="1" applyFont="1" applyNumberFormat="1">
      <alignment horizontal="left" shrinkToFit="0" vertical="top" wrapText="1"/>
    </xf>
    <xf borderId="1" fillId="8" fontId="6" numFmtId="0" xfId="0" applyAlignment="1" applyBorder="1" applyFill="1" applyFont="1">
      <alignment horizontal="left" shrinkToFit="0" vertical="top" wrapText="1"/>
    </xf>
    <xf borderId="1" fillId="8" fontId="7" numFmtId="0" xfId="0" applyAlignment="1" applyBorder="1" applyFont="1">
      <alignment horizontal="left" shrinkToFit="0" vertical="top" wrapText="1"/>
    </xf>
    <xf borderId="1" fillId="8" fontId="7" numFmtId="167" xfId="0" applyAlignment="1" applyBorder="1" applyFont="1" applyNumberFormat="1">
      <alignment horizontal="left" shrinkToFit="0" vertical="top" wrapText="1"/>
    </xf>
    <xf borderId="1" fillId="8" fontId="16" numFmtId="0" xfId="0" applyAlignment="1" applyBorder="1" applyFont="1">
      <alignment horizontal="left" shrinkToFit="0" vertical="top" wrapText="1"/>
    </xf>
    <xf borderId="1" fillId="8" fontId="7" numFmtId="0" xfId="0" applyAlignment="1" applyBorder="1" applyFont="1">
      <alignment horizontal="left" shrinkToFit="0" vertical="top" wrapText="0"/>
    </xf>
    <xf borderId="1" fillId="8" fontId="7" numFmtId="165" xfId="0" applyAlignment="1" applyBorder="1" applyFont="1" applyNumberFormat="1">
      <alignment horizontal="left" shrinkToFit="0" vertical="top" wrapText="1"/>
    </xf>
    <xf borderId="0" fillId="8" fontId="10" numFmtId="0" xfId="0" applyFont="1"/>
    <xf borderId="0" fillId="7" fontId="7" numFmtId="0" xfId="0" applyAlignment="1" applyFont="1">
      <alignment horizontal="left" shrinkToFit="0" vertical="top" wrapText="1"/>
    </xf>
    <xf borderId="0" fillId="7" fontId="17" numFmtId="0" xfId="0" applyAlignment="1" applyFont="1">
      <alignment horizontal="left" shrinkToFit="0" vertical="top" wrapText="1"/>
    </xf>
    <xf borderId="0" fillId="7" fontId="18" numFmtId="0" xfId="0" applyFont="1"/>
    <xf borderId="0" fillId="8" fontId="6" numFmtId="0" xfId="0" applyFont="1"/>
    <xf borderId="0" fillId="0" fontId="10" numFmtId="167" xfId="0" applyFont="1" applyNumberFormat="1"/>
    <xf borderId="0" fillId="3" fontId="10" numFmtId="0" xfId="0" applyAlignment="1" applyFont="1">
      <alignment shrinkToFit="0" wrapText="1"/>
    </xf>
    <xf borderId="1" fillId="0" fontId="7" numFmtId="168" xfId="0" applyAlignment="1" applyBorder="1" applyFont="1" applyNumberFormat="1">
      <alignment horizontal="left" shrinkToFit="0" vertical="top" wrapText="1"/>
    </xf>
    <xf borderId="0" fillId="0" fontId="7" numFmtId="0" xfId="0" applyAlignment="1" applyFont="1">
      <alignment shrinkToFit="0" vertical="top" wrapText="1"/>
    </xf>
    <xf borderId="0" fillId="0" fontId="7" numFmtId="169" xfId="0" applyAlignment="1" applyFont="1" applyNumberFormat="1">
      <alignment shrinkToFit="0" vertical="top" wrapText="1"/>
    </xf>
    <xf borderId="0" fillId="0" fontId="19" numFmtId="0" xfId="0" applyAlignment="1" applyFont="1">
      <alignment shrinkToFit="0" vertical="top" wrapText="1"/>
    </xf>
    <xf borderId="0" fillId="0" fontId="7" numFmtId="170" xfId="0" applyAlignment="1" applyFont="1" applyNumberFormat="1">
      <alignment shrinkToFit="0" vertical="top" wrapText="1"/>
    </xf>
    <xf borderId="0" fillId="0" fontId="20" numFmtId="0" xfId="0" applyAlignment="1" applyFont="1">
      <alignment horizontal="left" shrinkToFit="0" vertical="top" wrapText="1"/>
    </xf>
    <xf borderId="0" fillId="0" fontId="7" numFmtId="168" xfId="0" applyAlignment="1" applyFont="1" applyNumberFormat="1">
      <alignment shrinkToFit="0" vertical="top" wrapText="1"/>
    </xf>
    <xf borderId="1" fillId="0" fontId="7" numFmtId="170" xfId="0" applyAlignment="1" applyBorder="1" applyFont="1" applyNumberFormat="1">
      <alignment horizontal="left" shrinkToFit="0" vertical="top" wrapText="1"/>
    </xf>
    <xf borderId="1" fillId="9" fontId="7" numFmtId="0" xfId="0" applyAlignment="1" applyBorder="1" applyFill="1" applyFont="1">
      <alignment horizontal="left" shrinkToFit="0" vertical="top" wrapText="1"/>
    </xf>
    <xf borderId="0" fillId="0" fontId="7" numFmtId="170" xfId="0" applyAlignment="1" applyFont="1" applyNumberFormat="1">
      <alignment horizontal="left" shrinkToFit="0" vertical="top" wrapText="1"/>
    </xf>
    <xf borderId="1" fillId="10" fontId="6" numFmtId="0" xfId="0" applyAlignment="1" applyBorder="1" applyFill="1" applyFont="1">
      <alignment horizontal="left" shrinkToFit="0" vertical="top" wrapText="1"/>
    </xf>
    <xf borderId="1" fillId="11" fontId="6" numFmtId="0" xfId="0" applyAlignment="1" applyBorder="1" applyFill="1" applyFont="1">
      <alignment horizontal="left" shrinkToFit="0" vertical="top" wrapText="1"/>
    </xf>
    <xf borderId="1" fillId="11" fontId="7" numFmtId="0" xfId="0" applyAlignment="1" applyBorder="1" applyFont="1">
      <alignment horizontal="left" shrinkToFit="0" vertical="top" wrapText="1"/>
    </xf>
    <xf borderId="1" fillId="11" fontId="7" numFmtId="167" xfId="0" applyAlignment="1" applyBorder="1" applyFont="1" applyNumberFormat="1">
      <alignment horizontal="left" shrinkToFit="0" vertical="top" wrapText="1"/>
    </xf>
    <xf borderId="1" fillId="11" fontId="21" numFmtId="0" xfId="0" applyAlignment="1" applyBorder="1" applyFont="1">
      <alignment horizontal="left" shrinkToFit="0" vertical="top" wrapText="1"/>
    </xf>
    <xf borderId="1" fillId="11" fontId="7" numFmtId="165" xfId="0" applyAlignment="1" applyBorder="1" applyFont="1" applyNumberFormat="1">
      <alignment horizontal="left" shrinkToFit="0" vertical="top" wrapText="1"/>
    </xf>
    <xf borderId="0" fillId="11" fontId="10" numFmtId="0" xfId="0" applyFont="1"/>
    <xf borderId="1" fillId="12" fontId="7" numFmtId="0" xfId="0" applyAlignment="1" applyBorder="1" applyFill="1" applyFont="1">
      <alignment horizontal="left" shrinkToFit="0" vertical="top" wrapText="1"/>
    </xf>
    <xf borderId="1" fillId="13" fontId="6" numFmtId="0" xfId="0" applyAlignment="1" applyBorder="1" applyFill="1" applyFont="1">
      <alignment horizontal="left" shrinkToFit="0" vertical="top" wrapText="1"/>
    </xf>
    <xf borderId="1" fillId="13" fontId="7" numFmtId="0" xfId="0" applyAlignment="1" applyBorder="1" applyFont="1">
      <alignment horizontal="left" shrinkToFit="0" vertical="top" wrapText="1"/>
    </xf>
    <xf borderId="1" fillId="13" fontId="22" numFmtId="0" xfId="0" applyAlignment="1" applyBorder="1" applyFont="1">
      <alignment horizontal="left" shrinkToFit="0" vertical="top" wrapText="1"/>
    </xf>
    <xf borderId="0" fillId="0" fontId="10" numFmtId="0" xfId="0" applyAlignment="1" applyFont="1">
      <alignment shrinkToFit="0" wrapText="1"/>
    </xf>
    <xf borderId="2" fillId="14" fontId="23" numFmtId="0" xfId="0" applyAlignment="1" applyBorder="1" applyFill="1" applyFont="1">
      <alignment horizontal="center"/>
    </xf>
    <xf borderId="3" fillId="0" fontId="24" numFmtId="0" xfId="0" applyBorder="1" applyFont="1"/>
    <xf borderId="4" fillId="2" fontId="4" numFmtId="0" xfId="0" applyAlignment="1" applyBorder="1" applyFont="1">
      <alignment horizontal="center" vertical="bottom"/>
    </xf>
    <xf borderId="4" fillId="2" fontId="4" numFmtId="0" xfId="0" applyAlignment="1" applyBorder="1" applyFont="1">
      <alignment horizontal="center" shrinkToFit="0" vertical="bottom" wrapText="1"/>
    </xf>
    <xf borderId="4" fillId="0" fontId="25" numFmtId="0" xfId="0" applyAlignment="1" applyBorder="1" applyFont="1">
      <alignment shrinkToFit="0" vertical="top" wrapText="1"/>
    </xf>
    <xf borderId="4" fillId="0" fontId="26" numFmtId="0" xfId="0" applyAlignment="1" applyBorder="1" applyFont="1">
      <alignment shrinkToFit="0" vertical="top" wrapText="1"/>
    </xf>
    <xf borderId="2" fillId="9" fontId="23" numFmtId="0" xfId="0" applyAlignment="1" applyBorder="1" applyFont="1">
      <alignment horizontal="center"/>
    </xf>
    <xf borderId="5" fillId="2" fontId="4" numFmtId="0" xfId="0" applyAlignment="1" applyBorder="1" applyFont="1">
      <alignment horizontal="center" shrinkToFit="0" vertical="center" wrapText="1"/>
    </xf>
    <xf borderId="6" fillId="2" fontId="4" numFmtId="0" xfId="0" applyAlignment="1" applyBorder="1" applyFont="1">
      <alignment horizontal="center" shrinkToFit="0" vertical="center" wrapText="1"/>
    </xf>
    <xf borderId="7" fillId="2" fontId="4" numFmtId="0" xfId="0" applyAlignment="1" applyBorder="1" applyFont="1">
      <alignment horizontal="center" shrinkToFit="0" vertical="center" wrapText="1"/>
    </xf>
    <xf borderId="0" fillId="0" fontId="27" numFmtId="0" xfId="0" applyAlignment="1" applyFont="1">
      <alignment horizontal="center"/>
    </xf>
    <xf borderId="4" fillId="0" fontId="28" numFmtId="0" xfId="0" applyAlignment="1" applyBorder="1" applyFont="1">
      <alignment horizontal="left" shrinkToFit="0" vertical="top" wrapText="1"/>
    </xf>
    <xf borderId="4" fillId="0" fontId="29" numFmtId="0" xfId="0" applyAlignment="1" applyBorder="1" applyFont="1">
      <alignment horizontal="left" vertical="top"/>
    </xf>
    <xf borderId="4" fillId="0" fontId="7" numFmtId="0" xfId="0" applyAlignment="1" applyBorder="1" applyFont="1">
      <alignment horizontal="left" shrinkToFit="0" vertical="top" wrapText="1"/>
    </xf>
    <xf borderId="0" fillId="0" fontId="29" numFmtId="0" xfId="0" applyAlignment="1" applyFont="1">
      <alignment horizontal="left"/>
    </xf>
    <xf borderId="0" fillId="0" fontId="27" numFmtId="0" xfId="0" applyAlignment="1" applyFont="1">
      <alignment horizontal="left" vertical="top"/>
    </xf>
    <xf borderId="0" fillId="0" fontId="29" numFmtId="0" xfId="0" applyAlignment="1" applyFont="1">
      <alignment horizontal="left" vertical="top"/>
    </xf>
    <xf borderId="4" fillId="0" fontId="29" numFmtId="0" xfId="0" applyAlignment="1" applyBorder="1" applyFont="1">
      <alignment horizontal="left" shrinkToFit="0" vertical="top" wrapText="1"/>
    </xf>
    <xf borderId="2" fillId="15" fontId="23" numFmtId="0" xfId="0" applyAlignment="1" applyBorder="1" applyFill="1" applyFont="1">
      <alignment horizontal="center"/>
    </xf>
    <xf borderId="8" fillId="2" fontId="4" numFmtId="0" xfId="0" applyAlignment="1" applyBorder="1" applyFont="1">
      <alignment horizontal="center" shrinkToFit="0" vertical="center" wrapText="1"/>
    </xf>
    <xf borderId="9" fillId="2" fontId="4" numFmtId="0" xfId="0" applyAlignment="1" applyBorder="1" applyFont="1">
      <alignment horizontal="center" shrinkToFit="0" vertical="center" wrapText="1"/>
    </xf>
    <xf borderId="10" fillId="2" fontId="4" numFmtId="0" xfId="0" applyAlignment="1" applyBorder="1" applyFont="1">
      <alignment horizontal="center" shrinkToFit="0" vertical="center" wrapText="1"/>
    </xf>
    <xf borderId="2" fillId="16" fontId="23" numFmtId="0" xfId="0" applyAlignment="1" applyBorder="1" applyFill="1" applyFont="1">
      <alignment horizontal="center"/>
    </xf>
    <xf borderId="0" fillId="0" fontId="28" numFmtId="0" xfId="0" applyAlignment="1" applyFont="1">
      <alignment horizontal="left" shrinkToFit="0" vertical="top" wrapText="1"/>
    </xf>
    <xf borderId="2" fillId="17" fontId="23" numFmtId="0" xfId="0" applyAlignment="1" applyBorder="1" applyFill="1" applyFont="1">
      <alignment horizontal="center"/>
    </xf>
    <xf borderId="4" fillId="0" fontId="27" numFmtId="0" xfId="0" applyAlignment="1" applyBorder="1" applyFont="1">
      <alignment horizontal="left" vertical="top"/>
    </xf>
    <xf borderId="4" fillId="0" fontId="30" numFmtId="0" xfId="0" applyAlignment="1" applyBorder="1" applyFont="1">
      <alignment horizontal="left" shrinkToFit="0" vertical="top" wrapText="1"/>
    </xf>
    <xf borderId="4" fillId="0" fontId="25" numFmtId="0" xfId="0" applyAlignment="1" applyBorder="1" applyFont="1">
      <alignment horizontal="left" shrinkToFit="0" vertical="top" wrapText="1"/>
    </xf>
    <xf borderId="4" fillId="0" fontId="10" numFmtId="0" xfId="0" applyAlignment="1" applyBorder="1" applyFont="1">
      <alignment shrinkToFit="0" wrapText="1"/>
    </xf>
    <xf borderId="4" fillId="0" fontId="31" numFmtId="0" xfId="0" applyBorder="1" applyFont="1"/>
    <xf borderId="2" fillId="18" fontId="23" numFmtId="0" xfId="0" applyAlignment="1" applyBorder="1" applyFill="1" applyFont="1">
      <alignment horizontal="center"/>
    </xf>
    <xf borderId="2" fillId="4" fontId="23" numFmtId="0" xfId="0" applyAlignment="1" applyBorder="1" applyFont="1">
      <alignment horizontal="center"/>
    </xf>
    <xf borderId="0" fillId="19" fontId="5" numFmtId="0" xfId="0" applyFill="1" applyFont="1"/>
    <xf borderId="0" fillId="0" fontId="5" numFmtId="0" xfId="0" applyFont="1"/>
    <xf borderId="0" fillId="19" fontId="10" numFmtId="0" xfId="0" applyFont="1"/>
    <xf borderId="0" fillId="19" fontId="10" numFmtId="164" xfId="0" applyFont="1" applyNumberFormat="1"/>
    <xf borderId="0" fillId="19" fontId="32" numFmtId="0" xfId="0" applyFont="1"/>
    <xf borderId="0" fillId="0" fontId="10" numFmtId="165" xfId="0" applyFont="1" applyNumberFormat="1"/>
    <xf borderId="0" fillId="19" fontId="10" numFmtId="166" xfId="0" applyFont="1" applyNumberFormat="1"/>
    <xf borderId="0" fillId="19" fontId="33" numFmtId="0" xfId="0" applyFont="1"/>
    <xf borderId="0" fillId="18" fontId="10" numFmtId="0" xfId="0" applyFont="1"/>
    <xf borderId="0" fillId="18" fontId="34" numFmtId="0" xfId="0" applyFont="1"/>
    <xf borderId="0" fillId="0" fontId="10" numFmtId="168" xfId="0" applyFont="1" applyNumberFormat="1"/>
    <xf borderId="0" fillId="18" fontId="10" numFmtId="164" xfId="0" applyFont="1" applyNumberFormat="1"/>
    <xf borderId="0" fillId="18" fontId="10" numFmtId="169" xfId="0" applyFont="1" applyNumberFormat="1"/>
    <xf borderId="0" fillId="18" fontId="10" numFmtId="170" xfId="0" applyFont="1" applyNumberFormat="1"/>
    <xf borderId="0" fillId="0" fontId="10" numFmtId="170" xfId="0" applyFont="1" applyNumberFormat="1"/>
    <xf borderId="0" fillId="19" fontId="10" numFmtId="167" xfId="0" applyFont="1" applyNumberFormat="1"/>
    <xf borderId="0" fillId="18" fontId="10" numFmtId="167" xfId="0" applyFont="1" applyNumberFormat="1"/>
    <xf borderId="0" fillId="0" fontId="35" numFmtId="0" xfId="0" applyFont="1"/>
    <xf borderId="0" fillId="0" fontId="10" numFmtId="171" xfId="0" applyFont="1" applyNumberFormat="1"/>
    <xf borderId="0" fillId="19" fontId="10" numFmtId="169" xfId="0" applyFont="1" applyNumberFormat="1"/>
    <xf borderId="0" fillId="19" fontId="10" numFmtId="170" xfId="0" applyFont="1" applyNumberFormat="1"/>
    <xf borderId="0" fillId="0" fontId="23" numFmtId="0" xfId="0" applyFont="1"/>
    <xf borderId="1" fillId="5" fontId="7" numFmtId="0" xfId="0" applyBorder="1" applyFont="1"/>
    <xf borderId="1" fillId="5" fontId="6" numFmtId="0" xfId="0" applyAlignment="1" applyBorder="1" applyFont="1">
      <alignment horizontal="center" shrinkToFit="0" vertical="center" wrapText="1"/>
    </xf>
    <xf borderId="0" fillId="5" fontId="5" numFmtId="0" xfId="0" applyFont="1"/>
    <xf borderId="1" fillId="8" fontId="7" numFmtId="0" xfId="0" applyBorder="1" applyFont="1"/>
    <xf borderId="1" fillId="8" fontId="6" numFmtId="0" xfId="0" applyAlignment="1" applyBorder="1" applyFont="1">
      <alignment horizontal="center" shrinkToFit="0" vertical="center" wrapText="1"/>
    </xf>
    <xf borderId="0" fillId="8" fontId="5" numFmtId="0" xfId="0" applyFont="1"/>
    <xf borderId="1" fillId="0" fontId="7" numFmtId="0" xfId="0" applyBorder="1" applyFont="1"/>
    <xf borderId="1" fillId="0" fontId="6" numFmtId="0" xfId="0" applyAlignment="1" applyBorder="1" applyFont="1">
      <alignment horizontal="center" shrinkToFit="0" vertical="center" wrapText="1"/>
    </xf>
    <xf borderId="0" fillId="13" fontId="10" numFmtId="0" xfId="0" applyFont="1"/>
    <xf borderId="0" fillId="17" fontId="10" numFmtId="0" xfId="0" applyFont="1"/>
    <xf borderId="0" fillId="20" fontId="10" numFmtId="0" xfId="0" applyFill="1" applyFont="1"/>
    <xf borderId="0" fillId="20" fontId="5" numFmtId="0" xfId="0" applyFont="1"/>
    <xf borderId="0" fillId="20" fontId="10" numFmtId="172" xfId="0" applyFont="1" applyNumberFormat="1"/>
    <xf borderId="0" fillId="0" fontId="36" numFmtId="0" xfId="0" applyFont="1"/>
    <xf borderId="1" fillId="0" fontId="37" numFmtId="0" xfId="0" applyAlignment="1" applyBorder="1" applyFont="1">
      <alignment shrinkToFit="0" vertical="top" wrapText="1"/>
    </xf>
    <xf borderId="1" fillId="0" fontId="6" numFmtId="0" xfId="0" applyAlignment="1" applyBorder="1" applyFont="1">
      <alignment vertical="top"/>
    </xf>
    <xf borderId="1" fillId="0" fontId="38" numFmtId="0" xfId="0" applyAlignment="1" applyBorder="1" applyFont="1">
      <alignment shrinkToFit="0" vertical="top" wrapText="1"/>
    </xf>
    <xf borderId="0" fillId="0" fontId="6" numFmtId="0" xfId="0" applyAlignment="1" applyFont="1">
      <alignment vertical="bottom"/>
    </xf>
  </cellXfs>
  <cellStyles count="1">
    <cellStyle xfId="0" name="Normal" builtinId="0"/>
  </cellStyles>
  <dxfs count="2">
    <dxf>
      <font/>
      <fill>
        <patternFill patternType="solid">
          <fgColor rgb="FFF4CCCC"/>
          <bgColor rgb="FFF4CCCC"/>
        </patternFill>
      </fill>
      <border/>
    </dxf>
    <dxf>
      <font/>
      <fill>
        <patternFill patternType="solid">
          <fgColor rgb="FFF4C7C3"/>
          <bgColor rgb="FFF4C7C3"/>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2.xml"/><Relationship Id="rId21"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pivotCacheDefinition" Target="pivotCache/pivotCacheDefinition1.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NYC and Hong Kong (Internal &amp; External)</a:t>
            </a:r>
          </a:p>
        </c:rich>
      </c:tx>
      <c:overlay val="0"/>
    </c:title>
    <c:plotArea>
      <c:layout/>
      <c:barChart>
        <c:barDir val="col"/>
        <c:ser>
          <c:idx val="0"/>
          <c:order val="0"/>
          <c:tx>
            <c:strRef>
              <c:f>'4.1_Dashboard'!$A$26</c:f>
            </c:strRef>
          </c:tx>
          <c:spPr>
            <a:solidFill>
              <a:schemeClr val="accent1"/>
            </a:solidFill>
            <a:ln cmpd="sng">
              <a:solidFill>
                <a:srgbClr val="000000"/>
              </a:solidFill>
            </a:ln>
          </c:spPr>
          <c:cat>
            <c:strRef>
              <c:f>'4.1_Dashboard'!$B$25:$F$25</c:f>
            </c:strRef>
          </c:cat>
          <c:val>
            <c:numRef>
              <c:f>'4.1_Dashboard'!$B$26:$F$26</c:f>
              <c:numCache/>
            </c:numRef>
          </c:val>
        </c:ser>
        <c:ser>
          <c:idx val="1"/>
          <c:order val="1"/>
          <c:tx>
            <c:strRef>
              <c:f>'4.1_Dashboard'!$A$27</c:f>
            </c:strRef>
          </c:tx>
          <c:spPr>
            <a:solidFill>
              <a:schemeClr val="accent2"/>
            </a:solidFill>
            <a:ln cmpd="sng">
              <a:solidFill>
                <a:srgbClr val="000000"/>
              </a:solidFill>
            </a:ln>
          </c:spPr>
          <c:cat>
            <c:strRef>
              <c:f>'4.1_Dashboard'!$B$25:$F$25</c:f>
            </c:strRef>
          </c:cat>
          <c:val>
            <c:numRef>
              <c:f>'4.1_Dashboard'!$B$27:$F$27</c:f>
              <c:numCache/>
            </c:numRef>
          </c:val>
        </c:ser>
        <c:axId val="1382767199"/>
        <c:axId val="445370019"/>
      </c:barChart>
      <c:catAx>
        <c:axId val="13827671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445370019"/>
      </c:catAx>
      <c:valAx>
        <c:axId val="4453700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382767199"/>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Table 4 — Primary Focus of Policies</a:t>
            </a:r>
          </a:p>
        </c:rich>
      </c:tx>
      <c:overlay val="0"/>
    </c:title>
    <c:plotArea>
      <c:layout/>
      <c:barChart>
        <c:barDir val="col"/>
        <c:ser>
          <c:idx val="0"/>
          <c:order val="0"/>
          <c:tx>
            <c:strRef>
              <c:f>'4.1_Dashboard'!$A$32</c:f>
            </c:strRef>
          </c:tx>
          <c:spPr>
            <a:solidFill>
              <a:schemeClr val="accent1"/>
            </a:solidFill>
            <a:ln cmpd="sng">
              <a:solidFill>
                <a:srgbClr val="000000"/>
              </a:solidFill>
            </a:ln>
          </c:spPr>
          <c:cat>
            <c:strRef>
              <c:f>'4.1_Dashboard'!$B$31:$G$31</c:f>
            </c:strRef>
          </c:cat>
          <c:val>
            <c:numRef>
              <c:f>'4.1_Dashboard'!$B$32:$G$32</c:f>
              <c:numCache/>
            </c:numRef>
          </c:val>
        </c:ser>
        <c:ser>
          <c:idx val="1"/>
          <c:order val="1"/>
          <c:tx>
            <c:strRef>
              <c:f>'4.1_Dashboard'!$A$33</c:f>
            </c:strRef>
          </c:tx>
          <c:spPr>
            <a:solidFill>
              <a:schemeClr val="accent2"/>
            </a:solidFill>
            <a:ln cmpd="sng">
              <a:solidFill>
                <a:srgbClr val="000000"/>
              </a:solidFill>
            </a:ln>
          </c:spPr>
          <c:cat>
            <c:strRef>
              <c:f>'4.1_Dashboard'!$B$31:$G$31</c:f>
            </c:strRef>
          </c:cat>
          <c:val>
            <c:numRef>
              <c:f>'4.1_Dashboard'!$B$33:$G$33</c:f>
              <c:numCache/>
            </c:numRef>
          </c:val>
        </c:ser>
        <c:axId val="1787459613"/>
        <c:axId val="557323411"/>
      </c:barChart>
      <c:catAx>
        <c:axId val="17874596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557323411"/>
      </c:catAx>
      <c:valAx>
        <c:axId val="5573234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787459613"/>
      </c:valAx>
    </c:plotArea>
    <c:legend>
      <c:legendPos val="r"/>
      <c:overlay val="0"/>
      <c:txPr>
        <a:bodyPr/>
        <a:lstStyle/>
        <a:p>
          <a:pPr lvl="0">
            <a:defRPr b="0" i="0">
              <a:solidFill>
                <a:srgbClr val="1A1A1A"/>
              </a:solidFill>
              <a:latin typeface="+mn-lt"/>
            </a:defRPr>
          </a:pPr>
        </a:p>
      </c:txPr>
    </c:legend>
    <c:plotVisOnly val="1"/>
  </c:chart>
</c:chartSpace>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733425</xdr:colOff>
      <xdr:row>71</xdr:row>
      <xdr:rowOff>47625</xdr:rowOff>
    </xdr:from>
    <xdr:ext cx="5905500" cy="3657600"/>
    <xdr:graphicFrame>
      <xdr:nvGraphicFramePr>
        <xdr:cNvPr id="201494669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209550</xdr:colOff>
      <xdr:row>71</xdr:row>
      <xdr:rowOff>47625</xdr:rowOff>
    </xdr:from>
    <xdr:ext cx="5715000" cy="2514600"/>
    <xdr:pic>
      <xdr:nvPicPr>
        <xdr:cNvPr id="2067090932"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409575</xdr:colOff>
      <xdr:row>21</xdr:row>
      <xdr:rowOff>200025</xdr:rowOff>
    </xdr:from>
    <xdr:ext cx="4581525" cy="3095625"/>
    <xdr:graphicFrame>
      <xdr:nvGraphicFramePr>
        <xdr:cNvPr id="1242549642"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W111" sheet="NEW_Combined_Shallow Copy"/>
  </cacheSource>
  <cacheFields>
    <cacheField name="ID" numFmtId="0">
      <sharedItems>
        <s v="NYC-001"/>
        <s v="NYC-002"/>
        <s v="NYC-003"/>
        <s v="NYC-004"/>
        <s v="NYC-005"/>
        <s v="NYC-006"/>
        <s v="NYC-007"/>
        <s v="NYC-008"/>
        <s v="NYC-009"/>
        <s v="NYC-010"/>
        <s v="NYC-011"/>
        <s v="NYC-012"/>
        <s v="NYC-013"/>
        <s v="NYC-014"/>
        <s v="NYC-015"/>
        <s v="NYC-016"/>
        <s v="NYC-017"/>
        <s v="NYC-018"/>
        <s v="NYC-019"/>
        <s v="NYC-020"/>
        <s v="NYC-021"/>
        <s v="NYC-022"/>
        <s v="NYC-023"/>
        <s v="NYC-024"/>
        <s v="NYC-025"/>
        <s v="NYC-026"/>
        <s v="NYC-027"/>
        <s v="NYC-028"/>
        <s v="NYC-029"/>
        <s v="NYC-030"/>
        <s v="NYC-031"/>
        <s v="NYC-032"/>
        <s v="NYC-033"/>
        <s v="NYC-034"/>
        <s v="NYC-035"/>
        <s v="NYC-036"/>
        <s v="NYC-037"/>
        <s v="NYC-038"/>
        <s v="NYC-039"/>
        <s v="NYC-040"/>
        <s v="NYC-041"/>
        <s v="NYC-042"/>
        <s v="NYC-043"/>
        <s v="NYC-044"/>
        <s v="NYC-045"/>
        <s v="NYC-046"/>
        <s v="NYC-047"/>
        <s v="NYC-048"/>
        <s v="NYC-049"/>
        <s v="NYC-050"/>
        <s v="NYC-051"/>
        <s v="NYC-052"/>
        <s v="NYC-053"/>
        <s v="NYC-054"/>
        <s v="NYC-055"/>
        <s v="HK-001"/>
        <s v="HK-002"/>
        <s v="HK-003"/>
        <s v="HK-004"/>
        <s v="HK-005"/>
        <s v="HK-006"/>
        <s v="HK-007"/>
        <s v="HK-008"/>
        <s v="HK-009"/>
        <s v="HK-010"/>
        <s v="HK-011"/>
        <s v="HK-012"/>
        <s v="HK-013"/>
        <s v="HK-014"/>
        <s v="HK-015"/>
        <s v="HK-016"/>
        <s v="HK-017"/>
        <s v="HK-018"/>
        <s v="HK-019"/>
        <s v="HK-020"/>
        <s v="HK-021"/>
        <s v="HK-022"/>
        <s v="HK-023"/>
        <s v="HK-024"/>
        <s v="HK-025"/>
        <s v="HK-026"/>
        <s v="HK-027"/>
        <s v="HK-028"/>
        <s v="HK-029"/>
        <s v="HK-030"/>
        <s v="HK-031"/>
        <s v="HK-032"/>
        <s v="HK-033"/>
        <s v="HK-034"/>
        <s v="HK-035"/>
        <s v="HK-036"/>
        <s v="HK-037"/>
        <s v="HK-038"/>
        <s v="HK-039"/>
        <s v="HK-040"/>
        <s v="HK-041"/>
        <s v="HK-042"/>
        <s v="HK-043"/>
        <s v="HK-044"/>
        <s v="HK-045"/>
        <s v="HK-046"/>
        <s v="HK-047"/>
        <s v="HK-048"/>
        <s v="HK-049"/>
        <s v="HK-050"/>
        <s v="HK-051"/>
        <s v="HK-052"/>
        <s v="HK-053"/>
        <s v="HK-054"/>
        <s v="HK-055"/>
      </sharedItems>
    </cacheField>
    <cacheField name="Tier" numFmtId="0">
      <sharedItems>
        <s v="National/Federal"/>
        <s v="City/Territory"/>
        <s v="Institutional"/>
        <s v="Faculty/Department"/>
        <s v="Course-wide"/>
      </sharedItems>
    </cacheField>
    <cacheField name="Region" numFmtId="0">
      <sharedItems>
        <s v="NYC"/>
        <s v="Hong Kong"/>
      </sharedItems>
    </cacheField>
    <cacheField name="Jurisdiction / Institution" numFmtId="0">
      <sharedItems containsBlank="1">
        <s v="US Federal (White House)"/>
        <s v="ACUS (Administrative Conference of the United States)"/>
        <s v="NYC — Office of Technology and Innovation (OTI)"/>
        <s v="New York City — Office of Technology and Innovation (OTI), Strategic Initiatives Division"/>
        <s v="NYC Office of Technology and Innovation"/>
        <s v="NYC Public Schools"/>
        <s v="New York University"/>
        <s v="City University of New York"/>
        <s v="City University of New York | CUNY Central Office / CUNY Innovative Teaching Academy"/>
        <s v="Columbia University / Office of the Provost"/>
        <s v="Columbia University Information Technology / Emerging Technologies"/>
        <s v="Columbia University"/>
        <s v="New York University - Steinhardt"/>
        <s v="New York University - CAS"/>
        <s v="CUNY - Baruch College"/>
        <s v="CUNY - John Jay College of Criminal Justice"/>
        <s v="CUNY - LaGuardia"/>
        <s v="CUNY - City Tech"/>
        <s v="CUNY - Queens College"/>
        <s v="Teachers College, Columbia University"/>
        <s v="Columbia Law School"/>
        <s v="Columbia Business School"/>
        <s v="Center for Teaching and Learning (CTL)"/>
        <s v="Columbia University Irving Medical Center"/>
        <s v="NYU Stern"/>
        <s v="NYU College of Arts &amp; Sciences"/>
        <s v="CUNY - Lemann College"/>
        <s v="CUNY - City College "/>
        <s v="CUNY - York College "/>
        <m/>
        <s v="PolyU Edcuation Development Centre"/>
        <s v="PolyU Academic Registry"/>
        <s v="PolyU Design"/>
        <s v="PolyU English Learning Centre"/>
        <s v="PolyU School of Design"/>
        <s v="PolyU Department of English and Communication"/>
        <s v="PolyU Department of Building and Real Estate"/>
        <s v="Lingnan U Teaching and Learning Centre"/>
        <s v="Lingnan U Academic Quality Assurance Manual"/>
        <s v="Lingnan University&#10;Department of Translation"/>
        <s v="Lingnan U&#10;School of Graduate Studies"/>
        <s v="Lingnan U Centre for English and Additional&#10;Languages"/>
        <s v="Lingnan University&#10;Department of History"/>
        <s v="Lingnan U&#10;Faculty of Business"/>
      </sharedItems>
    </cacheField>
    <cacheField name="Institution" numFmtId="0">
      <sharedItems containsBlank="1">
        <m/>
        <s v="OTI"/>
        <s v="NYCPS"/>
        <s v="NYU"/>
        <s v="CUNY"/>
        <s v="Columbia"/>
        <s v="HKU"/>
        <s v="PolyU"/>
        <s v="Lingnan"/>
      </sharedItems>
    </cacheField>
    <cacheField name="Document Title" numFmtId="0">
      <sharedItems>
        <s v="National Policy Framework for Artificial Intelligence"/>
        <s v="Executive Order: Eliminating State Law Obstruction of National AI Policy&#10;"/>
        <s v="ACUS Policy on Use of Generative AI "/>
        <s v="Advancing Artificial Intelligence Education for American Youth "/>
        <s v="Ensuring a National Policy Framework for AI "/>
        <s v="NYC Use Guidance: Generative Artificial Intelligence"/>
        <s v="Preliminary Use Guidance: Generative Artificial Intelligence"/>
        <s v="NYC Artificial Intelligence Action Plan"/>
        <s v="NYC AI Action Plan Annual Progress Report - 2025"/>
        <s v="NYC Public Schools (NYCPS) AI Guidance"/>
        <s v="NYU Information Technology AI Primer"/>
        <s v="Student Learning with Generative AI"/>
        <s v="Adapting Assignments to Generative AI"/>
        <s v="Frequently Asked Questions About Teaching and AI"/>
        <s v="NYU AI Center of Excellence"/>
        <s v="CUNY AI Academic Hub"/>
        <s v="Teach@CUNY AI Toolkit"/>
        <s v="CUNY Central Academic Integrity Policy"/>
        <s v="AI Across CUNY"/>
        <s v="Teaching with AI: Disciplinary Toolkits"/>
        <s v="Office of the Provost: Generative AI Policy &amp; Guidance (2024-2026)"/>
        <s v="Best Practices for Responsible AI Use"/>
        <s v="Columbia CTL AI Guidelines (2024-2026)"/>
        <s v="CUIT AI Framework Policy"/>
        <s v="CUIT Generative AI Data Security Guidelines"/>
        <s v="NYU Steinhardt - Academic Integrity and Syllabus Support in the Age of Generative AI"/>
        <s v="CAS - Expository Writing Program (EWP) Statement on AI (2026)"/>
        <s v="Academic Integrity - Tisch"/>
        <s v="Generative AI Updates – Live Syllabus and Faculty Development Resources"/>
        <s v="Generative AI Resources for Faculty - NYU Arts and Sciences"/>
        <s v="Guidelines for AI Use at Baruch College"/>
        <s v="AI Responsible Use Guidelines"/>
        <s v="Teaching Writing at LaGuardia Generative AI Guidance.&#10;"/>
        <s v="City Tech Artificial Intelligence Guidance"/>
        <s v="Generative AI in the Classroom: Best Practices, a CETLL Guide"/>
        <s v="TC Guidance - Developing a Generative AI Policy for Your Course"/>
        <s v="Columbia Law School Interim Policy on Generative AI"/>
        <s v="Columbia Business School - Getting Started with Generative Artificial Intelligence&#10;"/>
        <s v="Center for Teaching and Learning (CTL) - Developing AI Syllabus Statements and Communicating with Students about AI&#10;"/>
        <s v="AI and Generative Technology Use at CUIMC"/>
        <s v="Global Strategy (Stern School of Business) Global Strategy Syllabus"/>
        <s v="Leadership (Stern School of Business - FT MBA) Leadership MBA Syllabus"/>
        <s v="Texts and Ideas: CORE-UA 400 070 (College of Arts &amp; Science) Texts and Ideas Syllabus"/>
        <s v="Environmental Justice &amp; Inequality "/>
        <s v="Writing Program Course Syllabus (College of Arts &amp; Science) FAS Writing Syllabus: “Language as a Site of Protest: Poetry &amp; Prose of the Political Imagination”"/>
        <s v="English 111: Composition I Course Syllabus"/>
        <s v="MCA 10100: Introduction to Mass Media OER/ZTC Syllabus"/>
        <s v="Digital Cultures, DEI, and AI: Critical Analysis Assignment &amp; Curriculum"/>
        <s v="Queens College — FNES 722 (Exercise, Energy Balance, and Body Composition)"/>
        <s v="Baruch College — ENV 3070 (Agroecology)"/>
        <s v="PSYC UN 3620: Developmental Psychopathology"/>
        <s v="COMS 3261: Computer Science Theory"/>
        <s v="NSBV BC3392: Psychobiology of Stress"/>
        <s v="PSYC UN 2235: Thinking and Decision Making"/>
        <s v="COMS 4705: Natural Language Processing"/>
        <s v="MOE sets 2026 priorities for digital education"/>
        <s v="Ten major reforms shaping China’s education landscape in 2025"/>
        <s v="教育部等五部门关于印发《“人工智能+教育”行动计划》的通知"/>
        <s v="国务院关于深入实施“人工智能+”行动的意见"/>
        <s v="Global AI Governance Action Plan"/>
        <s v="The Chief Executives 2025 Policy Address Supplement"/>
        <s v="The Chief Executive's 2024 Policy Address Education Bureau’s Policy Initiatives"/>
        <s v="Hong Kong Generative Artificial Intelligence Technical and Application Guideline"/>
        <s v="Ethical Artificial Intelligence Framework"/>
        <s v="Fund for Innovative Technology-in-Education"/>
        <s v="Academic Integrity and University-wide Core Principles for Using AI in Teaching and Assessment"/>
        <s v="Policy for AI in Education"/>
        <s v="Guidelines on the Responsible Use of Generative AI in Research at The University of Hong Kong"/>
        <s v="Responsible Use of Generative AI in Research at HKU"/>
        <s v="Guidebook: Generative Artificial Intelligence for Teaching and Learning "/>
        <s v="Using GenAI Responsibly in Your Research — A Quick Guide for RPG Students"/>
        <s v="HKU Policy on Use of Generative Artificial Intelligence for Teaching and Learning"/>
        <s v="Guidance for Using Generative AI Tools and Building Applications"/>
        <s v="Plagiarism Warning and Guidelines on Use of GenAI"/>
        <s v="Generative AI Resource Hub"/>
        <s v="ICSS2026_Course Syllabus"/>
        <s v="PSYC7319 Course Syllabus"/>
        <s v="PSYC7315 Course Syllabus"/>
        <s v="UPAD7001 Course Syllabus"/>
        <s v="GEOG3422 Course Syllabus"/>
        <s v="Guidelines for Students on the Use of Generative Artificial Intelligence"/>
        <s v="Generative AI"/>
        <s v="Honour Declaration for Individual Assessment/Assignment"/>
        <s v="Student Handbook for Taught Programmes 2025/26 "/>
        <s v="Must-read for success in your study"/>
        <s v="Research Integrity"/>
        <s v="GenAI@ELC"/>
        <s v="Using AI to improve your Language Skills (Teacher Version) "/>
        <s v="Generative AI Use Guideline &amp; Design Research Integrity"/>
        <s v="Generative AI - Inappropriate usage and limitations | Department of English and Communication"/>
        <s v="BRE506 (from Programme Requirement Document)"/>
        <s v="BRE533 (from Programme Requirement Document)"/>
        <s v="ENGL5037 "/>
        <s v="MM6452"/>
        <s v="COMP5571 "/>
        <s v="Guidelines for Using Generative Artificial Intelligence (GAI) Tools at Lingnan University"/>
        <s v="Best Practices for Ethical and Responsible Use of Generative Artificial Intelligence (GAI) Tools in Course Assessments&#10;"/>
        <s v="Use of Generative Artificial Intelligence (GAI) Tools Term 1 2024-25"/>
        <s v="Generative Artificial Intelligence"/>
        <s v="Chapter 4 - Quality Assurance and Enhancement of Student Assessment"/>
        <s v="AI Usage Policy for UG and TPG Programmes"/>
        <s v="AI Enabled Tools Declaration Form"/>
        <s v="GUIDEBOOK FOR RESEARCH POSTGRADUATE STUDENTS"/>
        <s v="Use of Generative AI in Assessed Work&#10;"/>
        <s v="Guidelines for Using Generative Artificial Intelligence (GAI) Tools"/>
        <s v="CDS2002 Course Syllabus"/>
        <s v="CDS3003 Course Syllabus&#10;"/>
        <s v="Master of Science in Artificial Intelligence and Business Analytics Student Handbook"/>
        <s v="SPA1302 Course Syllabus"/>
        <s v="CCC8013 Course Syllabus"/>
      </sharedItems>
    </cacheField>
    <cacheField name="Document Type" numFmtId="0">
      <sharedItems>
        <s v="Executive Order"/>
        <s v="Law/Regulation"/>
        <s v="Official Guidance"/>
        <s v="Other"/>
        <s v="FAQ/Resource Page"/>
        <s v="University Policy"/>
        <s v="Syllabus"/>
      </sharedItems>
    </cacheField>
    <cacheField name="Publication Date">
      <sharedItems containsDate="1" containsBlank="1" containsMixedTypes="1">
        <d v="2026-12-20T00:00:00Z"/>
        <d v="2025-11-12T00:00:00Z"/>
        <d v="2025-10-12T00:00:00Z"/>
        <d v="2025-04-23T00:00:00Z"/>
        <d v="2025-12-11T00:00:00Z"/>
        <s v="30/2/2025"/>
        <d v="2024-03-01T00:00:00Z"/>
        <m/>
        <d v="2025-10-16T00:00:00Z"/>
        <d v="2026-03-01T00:00:00Z"/>
        <d v="2025-02-20T00:00:00Z"/>
        <n v="2025.0"/>
        <n v="2024.0"/>
        <d v="2025-09-30T00:00:00Z"/>
        <s v="2024-2025"/>
        <d v="2026-01-09T00:00:00Z"/>
        <d v="2025-06-10T00:00:00Z"/>
        <d v="2025-11-01T00:00:00Z"/>
        <d v="2024-01-23T00:00:00Z"/>
        <d v="2025-08-19T00:00:00Z"/>
        <d v="2025-03-01T00:00:00Z"/>
        <s v="Fall 2025"/>
        <s v="Spring 2025"/>
        <n v="2026.0"/>
        <s v="Fall 2024"/>
        <s v="Fall 2024 "/>
        <s v="Spring 2024"/>
        <d v="2026-04-01T00:00:00Z"/>
        <d v="2025-12-31T00:00:00Z"/>
        <d v="2026-04-10T00:00:00Z"/>
        <d v="2023-07-13T00:00:00Z"/>
        <d v="2025-07-26T00:00:00Z"/>
        <d v="2025-09-17T00:00:00Z"/>
        <d v="2024-11-01T00:00:00Z"/>
        <d v="2025-12-01T00:00:00Z"/>
        <d v="2025-11-17T00:00:00Z"/>
        <s v="?"/>
        <d v="2025-09-08T00:00:00Z"/>
        <d v="2026-05-14T00:00:00Z"/>
        <d v="2023-08-08T00:00:00Z"/>
        <d v="2025-12-23T00:00:00Z"/>
        <d v="2026-01-01T00:00:00Z"/>
        <d v="2026-05-01T00:00:00Z"/>
        <d v="2025-09-26T00:00:00Z"/>
        <d v="2025-05-14T00:00:00Z"/>
        <d v="2025-09-01T00:00:00Z"/>
        <d v="2024-09-01T00:00:00Z"/>
        <d v="2024-06-01T00:00:00Z"/>
        <d v="2024-04-01T00:00:00Z"/>
        <d v="2025-08-01T00:00:00Z"/>
        <d v="2024-10-01T00:00:00Z"/>
        <d v="2024-08-09T00:00:00Z"/>
        <d v="2025-01-16T00:00:00Z"/>
        <d v="2025-09-22T00:00:00Z"/>
        <d v="2025-10-01T00:00:00Z"/>
        <s v="2023?"/>
      </sharedItems>
    </cacheField>
    <cacheField name="Source URL" numFmtId="0">
      <sharedItems>
        <s v="https://www.whitehouse.gov/wp-content/uploads/2026/03/03.20.26-National-Policy-Framework-for-Artificial-Intelligence-Legislative-Recommendations.pdf"/>
        <s v="https://www.whitehouse.gov/presidential-actions/2025/12/eliminating-state-law-obstruction-of-national-artificial-intelligence-policy/"/>
        <s v="https://www.acus.gov/sites/default/files/documents/ACUS_Policy_on_Use_of_GenAI-20251210.pdf"/>
        <s v="https://www.whitehouse.gov/presidential-actions/2025/04/advancing-artificial-intelligence-education-for-american-youth/"/>
        <s v="https://www.nyc.gov/assets/oti/downloads/pdf/New-York-City-Generative-AI-Use-Guidance.pdf"/>
        <s v="https://www.nyc.gov/assets/oti/downloads/pdf/about/preliminary-use-guidance-general-artificial-intelligence.pdf"/>
        <s v="https://www.nyc.gov/assets/oti/downloads/pdf/reports/artificial-intelligence-action-plan.pdf"/>
        <s v="https://www.nyc.gov/assets/oti/downloads/pdf/AI-Action-Plan-Progress-Report-Year-2.pdf"/>
        <s v="https://www.schools.nyc.gov/about-us/vision-and-mission/artificial-intelligence/guidance-on-artificial-intelligence-full"/>
        <s v="https://www.nyu.edu/life/information-technology/artificial-intelligence-at-nyu/primer.html"/>
        <s v="https://www.nyu.edu/faculty/teaching-and-learning-resources/Student-Learning-with-Generative-AI.html"/>
        <s v="https://www.nyu.edu/faculty/teaching-and-learning-resources/teaching-with-generative-tools/adapting-assignments-to-generative-AI.html"/>
        <s v="https://www.nyu.edu/faculty/teaching-and-learning-resources/teaching-with-generative-tools/frequently-asked-questions.html"/>
        <s v="https://www.nyu.edu/life/information-technology/artificial-intelligence-at-nyu/coe.html"/>
        <s v="https://www.cuny.edu/academics/ai-academic-hub/"/>
        <s v="https://aitoolkit.commons.gc.cuny.edu/"/>
        <s v="https://www.cuny.edu/about/administration/offices/legal-affairs/policies-resources/academic-integrity-policy/"/>
        <s v="https://www.ccny.cuny.edu/tlc/making-your-course-available?srsltid=AfmBOoojIHHL2OxDCdrK-0Xc9elMyrAnNWVcOtEzwybtMdTvH4Pbcfy-"/>
        <s v="https://www.cuny.edu/academics/faculty-affairs/faculty-hub/cuny-innovative-teaching-academy/building-bridges-of-knowledge-bbk/#1743443301057-e01b194c-474d"/>
        <s v="https://provost.columbia.edu/content/generative-ai"/>
        <s v="https://etc.cuit.columbia.edu/news/best-practices-responsible-ai-use"/>
        <s v="https://ctl.columbia.edu/resources-and-technology/resources/academic-integrity/"/>
        <s v="https://www.cuit.columbia.edu/sites/www.cuit.columbia.edu/files/content/CUIT%20Website%20Pages/AI%20Framework%20%20(1).pdf"/>
        <s v="https://www.cuit.columbia.edu/content/ai-services"/>
        <s v="https://steinhardt.nyu.edu/faculty-and-staff/academic-affairs/steinhardt-ai-hub/academic-integrity-and-syllabus-support-age"/>
        <s v="https://cas.nyu.edu/ewp/about/statement-on-generative-ai.html"/>
        <s v="https://tisch.nyu.edu/faculty/academic-integ"/>
        <s v="https://wp.nyu.edu/fas-edtech/2024/01/generative-ai-updates-live-syllabus-and-faculty-development-resources/"/>
        <s v="https://as.nyu.edu/academics/teaching-excellence-and-innovation/services/course-support/genai-resources.html"/>
        <s v="https://provost.baruch.cuny.edu/artificial-intelligence-think-tank/ai-use-guidance/"/>
        <s v="https://www.jjay.cuny.edu/about/senior-leadership/academic-affairs/office-provost/ai-policies-guidelines"/>
        <s v="https://lagccwriting.commons.gc.cuny.edu/gen-ai-guidance/"/>
        <s v="https://www.citytech.cuny.edu/ai/ai-guidance.aspx"/>
        <s v="https://www.qc.cuny.edu/cetll/wp-content/uploads/sites/138/2026/03/Generative-AI-in-the-Classroom-Best-Practices-a-CETLL-Guide_ACCESSIBLE_3.19.pdf"/>
        <s v="https://www.tc.columbia.edu/digitalfuturesinstitute/ai-in-education/recommendations-for-generative-ai-use-at-tc/"/>
        <s v="https://www.law.columbia.edu/academics/registration-services/resources/columbia-law-school-interim-policy-generative-ai"/>
        <s v="https://business.columbia.edu/samberg/ai/ai-basics"/>
        <s v="https://ai.ctl.columbia.edu/explore/ai-syllabus-statement/"/>
        <s v="https://www.it.cuimc.columbia.edu/ai-and-generative-technology-use-cuimc"/>
        <s v="https://web-apps-shib.stern.nyu.edu/syllabi/static/syllabusfiles/MGMT-GB.2340_10_F2025.pdf"/>
        <s v="https://web-apps-shib.stern.nyu.edu/syllabi/static/syllabusfiles/COR1-GB.1102_02_F2025.pdf"/>
        <s v="https://cas.nyu.edu/content/dam/nyu-as/casCore/documents/syllabifall2025/BARBIERO%20SYLLABUS%202025%20-%20Copy%20%281%29.pdf"/>
        <s v="https://as.nyu.edu/content/dam/nyu-as/environment/documents/Syllabi/spring-2025/Environmental%20Justice%20syllabus%202025%20-%20Colin%20Jerolmack.pdf"/>
        <s v="https://as.nyu.edu/content/dam/nyu-as/cwp/documents/introsyllabi/fall2025syllabi/NYU%20Syllabus,%20Fall%202025%20-%20GDC-9.pdf"/>
        <s v="https://academicworks.cuny.edu/cgi/viewcontent.cgi?article=1112&amp;context=le_oers"/>
        <s v="https://academicworks.cuny.edu/cgi/viewcontent.cgi?article=1583&amp;context=cc_oers"/>
        <s v="https://academicworks.cuny.edu/cgi/viewcontent.cgi?article=1094&amp;context=jj_oers"/>
        <s v="https://academicworks.cuny.edu/cgi/viewcontent.cgi?article=1117&amp;context=qc_oers"/>
        <s v="https://academicworks.cuny.edu/cgi/viewcontent.cgi?article=1129&amp;context=bb_oers"/>
        <s v="https://psychology.columbia.edu/sites/psychology.columbia.edu/files/content/PSYC%203620%20Syllabus%20Fall2024.pdf"/>
        <s v="https://www.cs.columbia.edu/~josh/cs-theory/"/>
        <s v="https://psychology.columbia.edu/sites/psychology.columbia.edu/files/content/Syllabus%20Psychobiology%20of%20Stress%20FA24.pdf"/>
        <s v="https://psychology.columbia.edu/sites/psychology.columbia.edu/files/content/UN2235%20Syllabus%20for%20Spring%202024%20KFG.pdf"/>
        <s v="https://www.cs.columbia.edu/~johnhew/coms4705/index.html"/>
        <s v="http://en.moe.gov.cn/news/press_releases/202604/t20260406_1432962.html"/>
        <s v="http://en.moe.gov.cn/news/press_releases/202601/t20260120_1427027.html"/>
        <s v="https://www.nda.gov.cn/sjj/zwgk/zcfb/0413/20260410162428109058250_pc.html"/>
        <s v="https://www.mee.gov.cn/zcwj/gwywj/202508/t20250827_1126207.shtml"/>
        <s v="https://hk.ocmfa.gov.cn/eng/xjpzxzywshd/202507/t20250729_11679232.htm"/>
        <s v="https://www.policyaddress.gov.hk/2025/public/pdf/supplement/supplement-full_en.pdf"/>
        <s v="https://www.edb.gov.hk/en/about-edb/legco/policy-address/2024_Panel_on_Education_Eng.pdf"/>
        <s v="https://www.digitalpolicy.gov.hk/en/our_work/data_governance/policies_standards/ethical_ai_framework/doc/HK_Generative_AI_Technical_and_Application_Guideline_en.pdf"/>
        <s v="https://www.digitalpolicy.gov.hk/en/our_work/data_governance/policies_standards/ethical_ai_framework/doc/Ethical_AI_Framework_en.pdf"/>
        <s v="https://www.ugc.edu.hk/eng/ugc/activity/teach_learn/fite.html"/>
        <s v="https://talic.hku.hk/innovation/ai-ethics/core-principles/"/>
        <s v="https://aied.talic.hku.hk/aipolicy/"/>
        <s v="https://www.rss.hku.hk/research-integrity/GenAI-research-guidelines.pdf"/>
        <s v="https://www.rss.hku.hk/integrity/generative-ai"/>
        <s v="https://commoncore.hku.hk/wp-content/uploads/documents/Guidebook%20-%20GenAI%20in%20Teaching%20and%20Learning.pdf"/>
        <s v="https://gradsch.hku.hk/news_and_events/newsletter/using-genai-responsibly-your-research-quick-guide-rpg-students"/>
        <s v="https://hkuspace.hku.hk/news/detail/hku-policy-on-use-of-generative-artificial-intelligence-for-teaching-and-learning"/>
        <s v="https://innowings.engg.hku.hk/innowing1/aiguide/"/>
        <s v="https://english.hku.hk/General_Information/Plagiarism_Warning_and_Guidelines_on_Use_of_GenAI"/>
        <s v="https://www.med.hku.hk/en/teaching-and-learning/edtech/resource-hub"/>
        <s v="https://summerinstitute.hku.hk/storage/media/Temp%20Files/2026_Course%20Outline/20251223_ICSS2026_Course%20Syllabus_2026-2"/>
        <s v="https://psychology.hku.hk/wp-content/programmes/MSocScPsy/CourseOutlines/7319.pdf"/>
        <s v="https://psychology.hku.hk/wp-content/programmes/MSocScPsy/CourseOutlines/7315.pdf"/>
        <s v="https://foa-media.arch.hku.hk/media/upload/2025/10/UPAD7001_Reseach_Design_Seminar_Series_Course-Outline_2025-2026_10Sep.pdf"/>
        <s v="https://bpyloo.hku.hk/wp-content/uploads/2025/09/GEOG3422-Course-Outline-01Sep2025.pdf"/>
        <s v="https://www.polyu.edu.hk/ar/docdrive/polyu-students/Student-guide-on-the-use-of-GenAI-revised-260105.pdf"/>
        <s v="https://www.polyu.edu.hk/edc/explore-a-topic/generative-ai/"/>
        <s v="https://www.polyu.edu.hk/edc/-/media/department/edc/content/explore-a-topic/academic-integrity/expanded-honour-declaration-forms_june-2024.pdf?la=en&amp;hash=EBAD20FDCE2877034F7943181F8793AC"/>
        <s v="https://www.polyu.edu.hk/ar/docdrive/polyu-students/student-handbook/Student_Handbook_2025-26_English.pdf"/>
        <s v="https://www.polyu.edu.hk/ar/students-in-taught-programmes/notices-to-students/2025/2025-09-26_must-read-for-success-in-your-study/"/>
        <s v="https://www.polyu.edu.hk/sd/research/research-integrity/"/>
        <s v="https://www.polyu.edu.hk/elc/genai/"/>
        <s v="https://www.polyu.edu.hk/elc/docdrive/genai_at_elc/Using_AI_to_improve_your_Language_Skills_Teacher_Version.pdf"/>
        <s v="https://www.polyu.edu.hk/sd/-/media/department/sd/content/research-2/research-integrity/generative-ai-use-guideline--design-research-integrity202509.pdf"/>
        <s v="https://www.polyu.edu.hk/engl/experience-and-opportunities/generative-ai/inappropriate-usage-and-limitations/"/>
        <s v="https://www.polyu.edu.hk/bre/docdrive/32111-32112-32113_BRE_AY24-25.pdf"/>
        <s v="https://www.polyu.edu.hk/engl/-/media/department/engl/content/study/full-subject-list/level-5-subjects/engl5037_20241_v062024.pdf?rev=4b025a9c057a4610ae7412df21ff9f4c&amp;hash=8D2390F6F57D0EBFBD4658D32FC64610"/>
        <s v="https://www.polyu.edu.hk/mm/-/media/department/mm/content/study/subject-syllabi_tpg/mm6452.pdf"/>
        <s v="https://www.polyu.edu.hk/comp/docdrive/tpg/subject/COMP5571.pdf"/>
        <s v="https://www.ln.edu.hk/tlc/f/page/107180/Guidelines%20for%20Using%20GAI%20Tools%20%28Oct%202024%29.pdf"/>
        <s v="https://www.ln.edu.hk/tlc/f/page/107180/Best%20Practices%20for%20Ethicial%20and%20Responsibilities%20Use%20of%20GAI%20%28Aug%202025%29.pdf"/>
        <s v="https://www.ln.edu.hk/tlc/f/page/107180/Use%20of%20Generative%20Artificial%20Intelligence%20%28GAI%29%20Tools%20Term%201%202024-25.pdf"/>
        <s v="https://www.ln.edu.hk/tlc/generative-artificial-intelligence"/>
        <s v="https://www.ln.edu.hk/main/aqa/table-of-contents/chapter-four"/>
        <s v="https://www.ln.edu.hk/tran/f/page/116062/ai-usage-policy-for-ug-and-tpg-programmes.pdf"/>
        <s v="https://view.officeapps.live.com/op/view.aspx?src=https%3A%2F%2Fwww.ln.edu.hk%2Ftran%2Ff%2Fpage%2F116062%2FAI%2520Enabled%2520Tools%2520Declaration%2520Form_Translation_20250922.docx&amp;wdOrigin=BROWSELINK"/>
        <s v="https://www.ln.edu.hk/sgs/f/upload/114745/Guidebook_for_RPg_Students.pdf"/>
        <s v="https://www.ln.edu.hk/ceal/f/page/109859/CEAL%20Gen%20AI%20Policy%20for%20students.pdf"/>
        <s v="https://www.ln.edu.hk/history/f/upload/105794/345198/HIST%20Departmental%20policy%20on%20GAI%20tools.pdf"/>
        <s v="https://www.ln.edu.hk/sds/dai/ds/f/page/105561/CDS2002%20Introduction%20to%20Artificial%20Intelligence%20%28Required%29.190825.pdf"/>
        <s v="https://www.ln.edu.hk/sds/dai/ds/f/page/105561/CDS3003%20Machine%20Learning%20%28Required%29.190825.pdf"/>
        <s v="https://www.ln.edu.hk/sds/dai/mscaiba/f/page/72803/MScAIBA%20-%20Student%20Handbook%202023-24.pdf"/>
        <s v="https://www.ln.edu.hk/ceal/f/page/109868/SPA1302.pdf"/>
        <s v="https://www.ln.edu.hk/dos/f/upload/109663/CCC8013%20The%20Process%20of%20Science%20-%20Revised%20Syllabus%20%20Rubrics_20240807.pdf"/>
      </sharedItems>
    </cacheField>
    <cacheField name="Stance" numFmtId="0">
      <sharedItems>
        <s v="Functional"/>
        <s v="Encouraging"/>
        <s v="Cautious"/>
        <s v="Prohibitive"/>
      </sharedItems>
    </cacheField>
    <cacheField name="Disclosure" numFmtId="0">
      <sharedItems>
        <s v="Not specified"/>
        <s v="Required"/>
        <s v="Recommended"/>
        <s v="Conditional"/>
      </sharedItems>
    </cacheField>
    <cacheField name="Discretion" numFmtId="0">
      <sharedItems>
        <s v="Gov-mandated"/>
        <s v="Hybrid"/>
        <s v="Not specified"/>
        <s v="Institution-mandated"/>
        <s v="Instructor decides"/>
        <s v="Faculty/Dept decides"/>
      </sharedItems>
    </cacheField>
    <cacheField name="Focus (Primary)" numFmtId="0">
      <sharedItems>
        <s v="Professional Readiness"/>
        <s v="Privacy/Data/Ethics"/>
        <s v="AI Literacy"/>
        <s v="Pedagogy/Learning"/>
        <s v="Academic Integrity"/>
        <s v="Equity"/>
      </sharedItems>
    </cacheField>
    <cacheField name="Focus (Secondary)" numFmtId="0">
      <sharedItems containsBlank="1">
        <s v="AI Literacy"/>
        <s v="Academic Integrity"/>
        <s v="Pedagogy/Learning"/>
        <s v="Privacy/Data/Ethics"/>
        <s v="Professional Readiness"/>
        <m/>
        <s v="Equity"/>
      </sharedItems>
    </cacheField>
    <cacheField name="Enforcement" numFmtId="0">
      <sharedItems>
        <s v="Guidance only"/>
        <s v="Referenced to integrity code"/>
        <s v="Explicit penalties"/>
        <s v="None stated"/>
      </sharedItems>
    </cacheField>
    <cacheField name="Coverage" numFmtId="0">
      <sharedItems>
        <s v="Whole community"/>
        <s v="Students and Faculty"/>
        <s v="Faculty only"/>
        <s v="Students only"/>
        <s v="Researchers only"/>
      </sharedItems>
    </cacheField>
    <cacheField name="Key Quote (verbatim)" numFmtId="0">
      <sharedItems containsBlank="1">
        <s v="“The federal government must establish a federal AI policy framework to protect American rights, support innovation, and prevent a fragmented patchwork of state regulations.”"/>
        <s v=" It is the policy of the United States to sustain and enhance the United States’ global AI dominance through a minimally burdensome national policy framework for AI. "/>
        <s v="Federal employees must disclose GenAI use and must not input sensitive or confidential information into public AI tools"/>
        <s v="“It is the policy of the United States to promote AI literacy and proficiency among Americans by promoting the appropriate integration of AI into education, providing comprehensive AI training for educators, and fostering early exposure to AI concepts and"/>
        <s v="“United States AI companies must be free to innovate without cumbersome regulation.”"/>
        <s v="&quot;The City is committed to a responsible approach to emerging technologies. This Use Guidance provides a framework for the responsible use of GenAI by City personnel, aligned with the City’s AI Principles, and applicable laws and policies.&quot;"/>
        <s v="In order to support critical engagement by end users and maintain public trust in city government, it is best practice to proactively disclose the use of Generative AI in all contexts"/>
        <s v="“The NYC AI Action Plan introduces seven new initiatives… toward harnessing the power of AI to deliver positive outcomes for New Yorkers, while carefully mitigating the risks these technologies present.”"/>
        <s v="“The Action Plan included 37 actions across seven initiatives focused on supporting city agencies’ efforts to understand and use AI tools, fostering appropriate governance across the city…”"/>
        <s v="“The NYCPS Traffic Light Approach… establishes when AI use is prohibited, when AI use requires careful consideration and judgment, and when AI is approved for use.”"/>
        <s v="While the models are immensely powerful tools, they require careful integration, governance, and human oversight to manage issues like bias, misinformation (hallucinations), and intellectual property, ensuring their power is used responsibly.&#10;"/>
        <s v="Students and faculty may use AI tools for learning and research; they should understand how AI works, evaluate outputs critically, and cite AI use where appropriate"/>
        <s v="Even if an instructor does not intend to change individual assignments, the availability and generality of these tools increases the need for clarity around the instructor’s expectations. Whatever strategies an instructor might adopt for individual assign"/>
        <s v="&quot;Generative AI is a new arrival in the academic environment and can be used in a wide variety of ways. Because of this novelty and flexibility, there are few standard approaches to its use beyond an Faculty/Inst. decides restriction on taking credit for A"/>
        <s v="“New York University is strategically investing in AI to gain significant administrative efficiencies, accelerate cutting-edge research, and equip our entire community—faculty, students, and staff—with the tools to thrive in an AI-driven world.”"/>
        <s v="&quot;Our Vision is shaping the Future of Human-AI Powered Education. CUNY is at the forefront of AI-driven transformation in higher education. Our mission is to harness AI’s potential to empower learning, drive research, and foster innovation—ensuring equitab"/>
        <s v="“This toolkit offers guidelines and resources to help instructors support students as we all learn to navigate a world increasingly awash in AI.”"/>
        <s v="“Any use of generative AI tools must be in line with the usage policy for specific assignments as defined in the course of the syllabus and/or communicated by the course instructor.”"/>
        <s v="“The Teaching and Learning Center developed this resource to help faculty explore the intersection of AI and education.”"/>
        <s v="“Building Bridge of Knowledge (BBK) is a CUNY-wide faculty fellowship project, aiming to help students use generative artificial intelligence (AI) tools ethically, responsibly, and effectively.”"/>
        <s v="“Columbia recognizes that generative AI is a tool that is transforming higher education and society, and encourages our campus community to explore its possibilities while being mindful of the potential security and privacy risks that it poses.”"/>
        <s v="CUIT’s guidance is designed to help the Columbia community benefit from AI while avoiding common failure points, particularly when institutional or sensitive data is involved.&#10;&#10;At the center of the guidance is one principle:&#10;AI should assist human judgmen"/>
        <s v="“The possible advantages that might present in the teaching-learning process should be under the control of each instructor since they know exactly what they expect from students’ work.”"/>
        <s v="“A key tenet of the framework is governance — ensuring that all AI initiatives adhere to security, privacy, and compliance requirements from the outset.”"/>
        <s v="“For work involving non-public data, Columbia IT maintains a set of enterprise-grade AI tools — including Columbia ChatGPT Education, CHAT, and Google for Education — that operate within a secured environment sometimes called a ‘walled garden.’”"/>
        <s v="“Any AI-generated content used in assignments must be properly attributed.”"/>
        <s v="No EWP class permits students to use AI-generated writing unless it is clearly identified as an object for analysis"/>
        <s v="Generative AI: Please note, with recent developments in technologies like ChatGPT, the existence of a well-written paragraph is no longer evidence of human effort. To read the Provost's notes on how to adapt writing assignments in the age of generative AI"/>
        <s v="“Whatever your approach, clear communication with students about your expectations and your justification for your generative AI use policies should be on your beginning of the semester agenda.”"/>
        <s v="“The materials on this page are a regularly updated collection of the advice and resources our team shares with instructors and departments about AI and teaching and learning.”"/>
        <s v="&quot;Faculty are encouraged to integrate artificial intelligence education into their courses as appropriate to their disciplines, but are not obligated to do so. All syllabi should include a course- and discipline-appropriate policy on the use of generative "/>
        <s v="Generative AI is a powerful tool for research and scholarship, and its effective use is becoming an essential workplace skill. We believe that fostering AI literacy across all disciplines is an extension of our mission to prepare students for meaningful c"/>
        <s v="Please include a statement on your syllabus which indicates your policy about student use of AI in your class. Please also verbally reinforce this policy with students throughout the semester.&#10;Right now, the Department does not have a uniform policy. To h"/>
        <s v="City Tech recognizes the rapid evolution of Artificial Intelligence (AI) and its impact on how we work, teach and learn. As the landscape of AI changes, and Generative AI tools become widely available for everyday use, new opportunities in higher educatio"/>
        <s v="Currently, there is no specific CUNY or QC policy on the use of artificial intelligence in the classroom outside of mentions of AI in the CUNY Academic Integrity Policy. This means that, as instructors, we have a lot of flexibility and responsibility to c"/>
        <s v="&quot;TC provides flexibility for instructors to experiment with and use generative AI in their courses. Each TC instructor should set specific policies about student use of generative AI for their course assignments&quot;"/>
        <s v="Generative AI includes any machine-based tool designed to help write, rewrite, or restructure language from user questions and prompts. Prohibited tools include, for example, Bard, ChatGPT, Gemini, Grok, along with embedded tools in programs such as Gramm"/>
        <s v="“Generative AI is a powerful tool capable of creating innovative solutions, automating repetitive tasks, and enhancing productivity.”"/>
        <s v="“Since instructors and academic departments have the ability to develop their own AI course policies, students may encounter different guidelines across their courses.”"/>
        <s v="“All use of AI, Large Language Models (LLM), Natural Language processors (NLP) or Machine Learning (ML) systems at the Medical Center must comply with HIPAA and other relevant healthcare and IT regulations.”"/>
        <s v="In this course, students are not allowed to use advanced automated tools (artificial intelligence or machine learning tools) on any component of this course. (...) When you are doing research for your final project, please make sure you use credible resou"/>
        <s v="You can only learn from work you actually do. Unless otherwise stated, you should not use generative AI tools to create any part of an assignment in this course; every submission should be entirely your work."/>
        <s v="As with any other class work generated by anyone other than the students, whether by other students or by a company, use of AI in this class, unless specifically permitted, will be considered a violation of NYU’s Academic Integrity policy and will be deal"/>
        <s v="“Presenting writing or data generated by someone else, or by software/Artificial Intelligence, as one’s own is a serious offense.”"/>
        <s v="“Plagiarism will be reported to the department, without exception. This includes the use of AI.”"/>
        <s v="While AI and Chat GPT is the future, it is not a valid resource for this class. As we will discuss, any time you are creating an assignment it must be in your own words. &#10;The use of AI, ChatGPT, etc. presenting as your own work that you yourself have not "/>
        <s v="As such, while using some programs of sites with AI features to do simple things like correct grammar or edit work is permissible, using generative AI programs like ChatGPT to write assignments for yourself will be considered an act of turning in work tha"/>
        <s v="Students may use AI tools only for: brainstorming, outlining, or organizing ideas.&#10;AI tools may not replace original thinking or writing.&#10;If AI is used, students must include a brief AI Use Disclosure Statement explaining: which tool was used,  how it was"/>
        <s v="Cheating is the unauthorized use or attempted use of material, information, notes, study aids, devices, artificial intelligence (AI) systems, or communication during an academic exercise and will result in a grade of a “0” on the assignment and may result"/>
        <s v="Use of generative AI tools (e.g. ChatGPT) is allowed. For each written assignment where generative AI is employed, you must include a cover letter describing what tool(s) you used, how you used it, why it was useful, and any shortcomings or limitations yo"/>
        <s v="While you are welcome to use generative AI tools in this class when doing so aligns with the&#10;course objectives, please be advised of the following (...)&#10;Remember, AI is not likely to generate a response that would be seen as quality work, and&#10;should be mo"/>
        <s v="It is also prohibited to use generative AI tools like ChatGPT while working on homeworks. (Even if it were not prohibited, these tools typically give incorrect and confusing solutions to the types of problems we will see in this class. In fact, in this cl"/>
        <s v="Submitting work that is generated by AI is not acceptable. There are no shortcuts when it comes to learning how&#10;to write about and present your own research. Instead, you are expected to put in the time and effort required to&#10;create your own work, which w"/>
        <s v="Generative AI tools like ChatGPT and Bard can do a lot of heavy lifting in academic contexts. Such tools aren’t inherently good or bad—it’s all up to how you use them. &#10;Ultimately, the ideas and words you share in class and in your written work for this c"/>
        <s v="AI tools (e.g., ChatGPT, Cursor, Claude Code) are fully allowed for Assignments 1–4. While I recommend doing the assignments on your own (or with minimal AI hints) as prep for exams, you may use AI to fully solve them if you wish. &#10;It is your responsibili"/>
        <s v="The MOE convened a meeting on March 31 to outline priorities for the next phase of the country’s digital education strategy, with a focus on integrating artificial intelligence (AI) across teaching, learning and educational management.&#10;&#10;Looking ahead, the"/>
        <s v="[Three of the ten &quot;reform themes&quot; mentioned AI]&#10;&#10;3. Rebalancing university disciplines and degree programs - &quot;New programs have been introduced in areas such as artificial intelligence...&quot;&#10;5. Training elite engineers for industries of strategic importance"/>
        <s v="（二）培育面向智能时代的高层次人才。推动人工智能成为高校公共基础课，按学科专业分类编写课程教材，推动全体学生掌握人工智能知识。根据人工智能技术特点，打造“短实新”的前沿创新课程。优化传统学科专业人才培养方案，指导高校开设人工智能交叉融合课程，丰富跨学科、跨专业课程群，培养复合型交叉人才。根据产业结构智能升级优化调整学科专业设置，新设一批适应新技术、新产业、新业态的学科专业。整合高水平研究型大学、科技领军企业、国家实验室等力量，深化学科交叉、产教融合、科教融汇，探索人工智能拔尖创新人才培养新模式。&#10;(Goo"/>
        <s v="&quot;推行更富成效的学习方式。把人工智能融入教育教学全要素、全过程，创新智能学伴、智能教师等人机协同教育教学新模式，推动育人从知识传授为重向能力提升为本转变，加快实现大规模因材施教，提高教育质量，促进教育公平。构建智能化情景交互学习模式，推动开展方式更灵活、资源更丰富的自主学习。鼓励和支持全民积极学习人工智能新知识、新技术。&#10;(Promote more effective learning methods. Integrate artificial intelligence into every elemen"/>
        <s v="To this end, we hereby put forward the Global AI Governance Action Plan, calling on all parties to take concrete and effective actions in advancing global AI development and governance based on the objectives and principles of promoting AI for good and in"/>
        <s v="Promote digital education&#10;Collaborate with professional bodies to launch&#10;pilot schemes to promote AI education,&#10;including enhancement of professional&#10;training for teachers and strengthening the&#10;application of Generative AI in learning and&#10;teaching. (EDB)"/>
        <s v="Setting up the Steering Committee on Strategic Development of Digital Education&#10;16. To dovetail with the national development of digital education and to nurture talents for the innovation and technology (I&amp;T) sector, the Government will continue to step "/>
        <s v="Content Safety is a critical issue for generative AI services.Fabrication of Rumours refers to the challenge wherein generative AI services can produce highly convincing text, images, audio, video, and other multimedia content.&#10;&#10;education technology (EdTe"/>
        <s v="balance AI innovation and development, application and responsibility, thereby constructing a governance framework with local characteristics that is suitable for Hong Kong's context&#10;&#10;Organisations can make use of the Ethical AI Framework when adopting AI"/>
        <s v="The UGC announced the launch of the Fund for Innovative Technology-in-Education (FITE) with a funding allocation of $100 million in June 2023 for 2023/24 – 2025/26 academic years, with $20 million earmarked for inter-institutional collaborative activities"/>
        <s v="Staff and students are reminded that the HKU regulations and policies regarding plagiarism and academic mis-conduct supersede all other regulations, where there is a conflict, these regulations and policies take precedence. ANY misuse of AI or misrepresen"/>
        <s v="The six core principles to AI policy in education are:&#10;- equal access is important;&#10;- guaranteeing AI security is critical;&#10;- AI literacy is essential;&#10;- rethinking pedagogy is most likely necessary;&#10;- course assessment will be greatly impacted and may ne"/>
        <s v="This document aims to provide general guidance on effective and responsible use of AI&#10;in research, especially in relation to the use of GenAI. The guidelines supplement and&#10;complement existing HKU policies, e.g. the Policy on Research Integrity&#10;(https://w"/>
        <s v="General Principles of Responsible Use&#10;1. Research Integrity&#10;Avoid misleading information and ensure AI-generated content is accurate and do not violate research integrity principles, including fabrication, falsification, or misconduct.&#10;Be aware of potenti"/>
        <s v="The guidebook explores some of these capabilities, presents examples of thoughtful applications, and engages in dialogue about GenAI’s implementations and implications. By drawing on findings from the literature, alongside student and teacher interviews a"/>
        <s v="Generative AI (GenAI) is transforming research by offering tools for idea generation, data processing, and content creation. However, its use introduces ethical, legal, and integrity challenges. Misuse can lead to plagiarism, data privacy breaches, and co"/>
        <s v="Please note that HKU SPACE will follow the University’s policy as per previous announcements from the Deputy Director (Academic Services) on the School’s staff intranet."/>
        <s v="Welcome to the world of generative AI and their versatile applications in building innovative solutions. These AI technologies offer powerful tools for creative problem-solving ideas and applications. However, their use must be accompanied by a strong com"/>
        <s v="There are severe penalties for plagiarism in the School of English...&#10;&#10;POLICY on the use of generative artificial intelligence (genai)&#10;The University has prepared a policy document outlining the regulations that govern the use of generative artificial int"/>
        <s v="A collection of teaching materials and guidelines are being developed to facilitate the application of AI technologies in teaching and learning activities.&#10;Guidelines on the Use of Generative Artificial Intelligence in Teaching and Learning for Profession"/>
        <s v="Students will learn how to collect, process, and analyze large-scale digital and behavioral data using computational tools such as text analysis, network analysis, social media analytics, and LLMs. Emphasis will be placed on real-world applications in soc"/>
        <s v="(p.6) Generative AI usage&#10;The University provides students with access to GenAI tools. However, the GenAI tools, at least at this stage of development, should not be taken as reliable&#10;sources of knowledge for this course, for which the answers of GenAI to"/>
        <s v="The University provides students with access to GenAI tools. However, their application is (a) not&#10;necessary for learning the contents of this course and (b) not expected to be advantageous for completing&#10;the course’s assignments. The GenAI tools, at leas"/>
        <s v="Generative AI (GAI) –&#10;1. Students are expected to do their assignments themselves and not asking someone&#10;else or Generative AI to do it for them.&#10;2. The use of GAI needs to be properly declared. The declaration should include but&#10;not limited to which tool"/>
        <s v="The course instructor and the course TA will check the originality report prior to&#10;marking. We view breaches of copyright and plagiarism, as well as the improper use of&#10;GenAI, very seriously.&#10;• When the detected AI percentage surpass the threshold of 30%,"/>
        <s v="PolyU takes an open and forward-looking stance on the use of GenAI tools as a positive and creative force in education... While embracing the use of new technology in education, PolyU upholds the principle that students must adhere to high standards of ac"/>
        <s v="It is expected that the usage of generative AI will become a normal part of learning, teaching, and assessment from 2023/24 Semester One.&#10;&#10;attempting to stop their usage seems likely to fail and be counterproductive. Driven by a wish to harness the positi"/>
        <s v="I have read, understood and followed the requirements of this subject and, in particular, the requirements related to using GenAI in this assessment/assignment.The work in this assessment/assignment is my own work. No part of this assessment/assignment&#10;is"/>
        <s v="Cheating: Using unpermitted materials and aids (including Generative Artificial Intelligence (GenAI) if it is explicitly disallowed), during tests, examinations, or other forms of assessment/assignment, be they in-person or online, or using materials/tool"/>
        <s v="PolyU is strongly committed to preserving academic integrity and has a zero-tolerance policy towards academic dishonesty. Do not commit such acts, e.g. cheating, contract cheating (paying a 3rd party to complete your work), plagiarism (copying others’ wor"/>
        <s v="These guidelines are designed to help colleagues and students at the School of Design use GenAI responsibly, transparently, and ethically. It aligns with university policies while addressing the specific contexts and challenges faced by designers. &#10;"/>
        <s v="PolyU takes an open and forward-looking stance on the use of generative artificial intelligence (GenAI) tools as a positive and creative force in education, and encourages the incorporation of such use in innovative learning, teaching, and assessment prac"/>
        <s v="The ELC follows the PolyU policy with regard to the use of GenAI tools. In summary, students are accountable for their&#10;own work. You should always refer to Student Information Sheets and ask your teacher to check when you may use&#10;GenAI tools in this subje"/>
        <s v="PolyU is strongly committed to preserving academic integrity and has a zero-tolerance policy towards academic dishonesty. Do not commit such acts, e.g. cheating, contract cheating,&#10;plagiarism (copying others’ work as your own without full&#10;acknowledgement,"/>
        <s v="ChatGPT bases its output on previous word patterns without regard to factual accuracy. Generative AI tools should not be relied on due to AI “hallucination”, which is text that appears convincing, but ultimately factually incorrect upon further checking. "/>
        <s v="If students intend to use Generative AI (GenAI) tools for brainstorming or&#10;generating initial ideas, literature search or writing of group assignment&#10;reports, they are required to declare the use of such tools (e.g. ChatGPT,&#10;Poe, Google Bard, Microsoft Bi"/>
        <s v="The generative AI tools (genAI) is not allowed for&#10;(1) functions identification and function analysis;&#10;(2) generating creativity ideas during Value Management workshop&#10;but encouraged for&#10;(1) search for typical examples or cases of value management&#10;(2) hel"/>
        <s v="ILOs:&#10;Upon completion of the subject, students will be able to:&#10;a. Identify key affordances and limitations related to&#10;generative AI and its usage as an analytical tool.&#10;b. Showcase proficiency in using generative AI as an&#10;analytical tool in various profe"/>
        <s v="Individual AI content design: The individual AI content design assesses students'&#10;comprehension of various aspects, including Generative AI models, multi-mode AI content&#10;generation, and the application and evaluation of AI content in different business sc"/>
        <s v="The subject is envisioned for students to embrace and leverage the&#10;potential of Generative Artificial Intelligence (AI). It will primarily&#10;focus on the nature, development, and implications of Generative AI,&#10;its role in innovative research methods, its ap"/>
        <s v="&quot;While Lingnan University enthusiastically embraces innovative technologies in education, it firmly upholds the principle that students must adhere to rigorous standards of academic integrity in all forms of assessments.&quot;&#10;&#10;&#10;&quot;From Term 2, 2024-25, students"/>
        <s v="To enhance the overall learning experience for our students, Lingnan University has decided to allow the use of ChatGPT and other GAI tools from the 2023-24 academic year. However, users should use these tools responsibly and ethically, and fully understa"/>
        <s v="In Term 1, 2024-25, teaching staff can choose to allow their students to use GAI tools to assist&#10;their preparation for assignments, assessments, and other educational practices. Teaching&#10;staff should communicate with students clearly about the use or not "/>
        <s v="Disclaimer:&#10;Please be aware that artificial intelligence tools may reflect biases present in the data used to train them. These biases can influence the responses provided, potentially leading to incomplete, inaccurate, or skewed information. Always verif"/>
        <s v="To enhance the overall learning experience for students, the University has decided to allow the use of ChatGPT and other Generative AI tools from the 2023-24 academic year.&#10;         &#10;In July 2023, the Teaching and Learning Centre issued the “Best Practic"/>
        <s v="Starting from Term 2 of the 2024-25 academic year, Lingnan students are allowed to use AI tools, but at the same time they need to follow the university's academic and ethical guidelines.&#10;&#10;It is agreed by the Department Board that the ceiling cap of AI us"/>
        <m/>
        <s v="&quot;It is agreed by the Department Board that the ceiling cap of AI usage is 40%. If the AI detection rate is higher than this, marks will be deducted from students' work because of lack of originality.&quot;"/>
        <s v="If there is a question over the inappropriate use of GenAI (“authorship”) we will carry out an&#10;investigation. If you are found to, on the balance of probabilities, have used Gen AI inappropriately,&#10;you will be asked to rewrite and resubmit. There will als"/>
        <s v="Starting Term 2, 2024-25, students are permitted to use GAI tools, including editing and spellchecking tools such as Grammarly and DeepL, to assist with their course assignments, provided&#10;they adhere to the University’s guidelines. &#10;&#10;In line with the Univ"/>
        <s v="Students must adhere to the University’s guidelines and practices when using Generative&#10;Artificial Intelligence (GAI) tools. The official documents “Guidelines for Using GAI&#10;Tools at Lingnan University” and “Best Practices for Ethical and Responsible Use "/>
        <s v="7.2.1 Use of Advanced Technologies&#10;To support the University's strategy on use of advanced technologies such as ChatGPT and other generative AI tools to facilitate learning, ITSC launched the ChatGPT service that is built on Microsoft's Open AI services. "/>
        <s v="(5) Students must adhere to the University’s guidelines and practices when using Generative&#10;Artificial Intelligence (AI) tools. The official documents “Guidelines for Using GAI Tools at Lingnan&#10;University” and “Best Practices for Ethical and Responsible U"/>
        <s v="5. Students are allowed to employ AI-enabled tools in their course assignments of Tech&#10;Report and Group Presentation. Declaration of the use of Generative AI tools and the&#10;explanation how the generated materials have been incorporated into the assignments"/>
      </sharedItems>
    </cacheField>
    <cacheField name="Coder Notes" numFmtId="0">
      <sharedItems containsBlank="1">
        <m/>
        <s v="There are 3 documents, For Everyone, For Student and For Faculty. All of them were considered in this coding"/>
        <s v="This is an official press release article. It is included here because there is no equivalent &quot;original text&quot; available.&#10;&#10;We cannot say this 2026 March 31 meeting had any effect on the HK institutions just yet (too recent). But we can see the alignment ac"/>
        <s v="This is an official press release article. It is included here because there is no equivalent &quot;original text&quot; available.&#10;It summarizes the reform themes observed after MOE's &quot;three-year action plan&quot; and &quot;a series of targeted reforms&quot;.&#10;&#10;AI is one of the co"/>
        <s v="References two other documents (including HK-004):&#10;&quot;根据《教育强国建设规划纲要（2024—2035年）》战略部署，按照《国务院关于深入实施“人工智能+”行动的意见》的要求，制定本计划。&quot;&#10;&#10;For details, search for 高校 (= Higher Education Institutions) in the main text.&#10;Note that HK Inst. strictly speaking are not governed b"/>
        <s v="Referenced by HK-003.&#10;&#10;This is the first document in the list that takes Learning as the main focus (rather than Industry needs)."/>
        <s v="Another press release, which seems to be the only reference for this Action Plan? Mentions &quot;AI+&quot; (HK-004)."/>
        <s v="Grand direction"/>
        <s v="Grand direction&#10;&#10;FIrst quote mostly directed to Primary and Secondary schools&#10;&#10;Money is spent"/>
        <s v="Their primary concern is the quality of the content and the threat it poses to society. This is very much within the realm of AI ethics"/>
        <s v="HongKong gov is basically saying: they have a good ai guidelines, please follow them, but they are not making them"/>
        <s v="$"/>
        <s v="Core principles&#10;&#10;School will provide a general guideline and faculty can lead their own rules on their own"/>
        <s v="Many big keywords: Equity, Privacy/secutiry, AI Literacy, Pegagogy, Academic integrity"/>
        <s v="Built upon existing inst. policy."/>
        <s v="They share a open mind for new ai tools and finding the right/postive method to accret with GENAI."/>
        <s v="Not strictly a &quot;policy&quot; document.&#10;&#10;But it contains different perspectives and use cases for faculty staff's pondering."/>
        <s v="From Grad School.&#10;&#10;Most of the content is about how to use it responsibly.&#10;&#10;Points to HK-013 at the end."/>
        <s v="HKU Space is the self-financing &quot;community colleges&quot; associated with HKU."/>
        <s v="This document is not written for teaching/learning in a course's context.&#10;&#10;The tone is like: AI is powerful! So use it with care.&#10;Focusing on Data."/>
        <s v="Clearly point the &quot;policy&quot; to institutional but the decision to teachers"/>
        <s v="The [PDF] is password protected.&#10;&#10;The video series is quite positive."/>
        <s v="LLM is one of the many tools covered in this course.&#10;No &quot;specific AI policy&quot; statements"/>
        <s v="Statement starts with a big &quot;However&quot;.&#10;The accepted and unaccepted uses are stated clearly with rationale with respect to assessment purpose."/>
        <s v="There is a separate section for &quot;Plagiarism&quot; detailing the penalties."/>
        <s v="Looks like a generic statement, e.g. &quot;consult and confirm with course teachers... for individual courses and assignments&quot;.&#10;But this document is a syllabus of a single course - UPAD7001 Research Design Seminar Series.&#10;&#10;Using AI = Asking someone else&#10;&#10;&quot;MAY "/>
        <s v="It is explicit that one ot the reason of using Turnitin is the detection of improper AI use (bigger than 30%).&#10;&#10;All negative. No mention of how GenAI may be useful. Almost Prohibitive, but still, 30% is 30%.&#10;"/>
        <s v="There is no need for new rules; simply integrate GenAI into the existing academic integrity framework,which is findinga comermise ground between ai tools and guidelines"/>
        <s v="Leveraging GenAi&amp; Redesigning assessment seems the best way to adapt AI streaming,it's a teaching opportunity to seize"/>
        <s v="Quite serious wording:&#10;&quot;Do not act in a way that you will regret later.&quot;"/>
        <s v="The Full Guides PDF are both restricted by a login page"/>
        <s v="A big resource hub for &quot;learning and teaching&quot;"/>
        <s v="&quot;Teacher Version&quot;"/>
        <s v="The slides begin with &quot;What is Research Integrity&quot;"/>
        <s v="This is part of their website about GenAI use. This particular page lists improper use cases and examples. It links to PolyU's policies under &quot;Other Resources&quot;."/>
        <s v="Same note for BRE581.&#10;&#10;Quite neutral. No penalties mentioned but also no encouraging tone. Just use it with disclosure."/>
        <s v="A bit more positive than HK-036 (from the same department). &quot;Encouraged&quot; for searching and writing. No requirement or consequences stated."/>
        <s v="GenAI is the focus of the course.&#10;The course talks about &quot;affordances and limitations&quot;, i.e. what AI can or cannot do as a tool.&#10;No &quot;specific AI policy&quot; stated."/>
        <s v="A very &quot;applied&quot; course on GenAI.&#10;No &quot;specific AI policy&quot; stated."/>
        <s v="teachers can turn it off for their course, students must declare every use, and academic integrity rules still run the show"/>
        <s v="The default is: Students are allowed to use GenAI tools. It is repeated multiple times in the full text."/>
        <s v="The first line is &quot;Dear colleagues&quot;&#10;&#10;Term 1: The teacher decides whether to allow it or not. Term 2: The university plans to make it universally allowed - teachers should adapt to it in advance."/>
        <s v="A resource page for both students and staff. Disclaimer is a very small part of the whole page/site."/>
        <s v="This is NOT the UGC Audit report.&#10;&#10;From the preface:&#10;&quot;Bringing together all the policies, regulations and guidelines pertaining to the assurance and enhancement of academic quality, it is easily available to all relevant staff and students.&quot;&#10;&#10;The Institut"/>
        <s v="Conditional permission with hard numerical limits and total disclosure — a translation department's pragmatic answer to a tool that can do its students' homework"/>
        <s v="This Declaration Form points back to the Institutional Guidelines (HK-041) and Best Practices (HK-042)."/>
        <s v="This is a guidebook from the Grad School.&#10;&#10;GAI is mentioned under &quot;Academic Honesty&quot;."/>
        <s v="Pretty negative."/>
        <s v="Built upon the institutional rules.&#10;Starts with how GenAI can be helpful in their work. (&quot;permitted&quot;, not encouraged/welcome)&#10;Mentions both students and faculty members."/>
        <s v="This &quot;Intro to AI&quot; course uses the standard template:&#10;https://tlc.ln.edu.hk/SyllabusTool/&#10;&#10;Course content is quite hardcore. Lots of advanced Computer Science stuff, not just everyday literacy."/>
        <s v="This &quot;Machine Learning&quot; course uses the standard template:&#10;https://tlc.ln.edu.hk/SyllabusTool/&#10;&#10;Course content is quite hardcore. Lots of advanced Computer Science stuff, not just everyday literacy."/>
        <s v="This Master Programme document directs readers to (an earlier version of) the Institutional Best Practice document (HK-042)."/>
        <s v="In addition to the template message, the CEAL adoption (HK-049) is mentioned.&#10;&#10;Each assessment will have its specific GenAI guidelines. It is phrased as if students are expected to use GenAI, but we cannot be sure unless we see the actual assessments.&#10;&#10;If"/>
        <s v="This is a rare case where the statement details what students are allowed to do with AI.&#10;Does NOT use the standard template.&#10;&#10;Consequences are not mentioned."/>
      </sharedItems>
    </cacheField>
    <cacheField name="Coder" numFmtId="0">
      <sharedItems containsBlank="1">
        <s v="EY"/>
        <s v="YM"/>
        <m/>
        <s v="cy"/>
      </sharedItems>
    </cacheField>
    <cacheField name="Date Coded" numFmtId="165">
      <sharedItems containsDate="1" containsString="0" containsBlank="1">
        <d v="2026-05-15T00:00:00Z"/>
        <m/>
        <d v="2026-05-14T00:00:00Z"/>
      </sharedItems>
    </cacheField>
    <cacheField name="Stance #" numFmtId="0">
      <sharedItems containsSemiMixedTypes="0" containsString="0" containsNumber="1" containsInteger="1">
        <n v="2.0"/>
        <n v="3.0"/>
        <n v="1.0"/>
        <n v="0.0"/>
      </sharedItems>
    </cacheField>
    <cacheField name="Tier #" numFmtId="0">
      <sharedItems containsSemiMixedTypes="0" containsString="0" containsNumber="1" containsInteger="1">
        <n v="1.0"/>
        <n v="2.0"/>
        <n v="3.0"/>
        <n v="4.0"/>
        <n v="5.0"/>
      </sharedItems>
    </cacheField>
    <cacheField name="Governance Domain" numFmtId="0">
      <sharedItems>
        <s v="External"/>
        <s v="Internal"/>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W81" sheet="Combined_Shallow Copy"/>
  </cacheSource>
  <cacheFields>
    <cacheField name="ID" numFmtId="0">
      <sharedItems>
        <s v="NYC-001"/>
        <s v="NYC-002"/>
        <s v="NYC-003"/>
        <s v="NYC-004"/>
        <s v="NYC-005"/>
        <s v="NYC-006"/>
        <s v="NYC-007"/>
        <s v="NYC-008"/>
        <s v="NYC-009"/>
        <s v="NYC-010"/>
        <s v="NYC-011"/>
        <s v="NYC-012"/>
        <s v="NYC-013"/>
        <s v="NYC-014"/>
        <s v="NYC-015"/>
        <s v="NYC-016"/>
        <s v="NYC-017"/>
        <s v="NYC-018"/>
        <s v="NYC-019"/>
        <s v="NYC-020"/>
        <s v="NYC-021"/>
        <s v="NYC-022"/>
        <s v="NYC-023"/>
        <s v="NYC-024"/>
        <s v="NYC-025"/>
        <s v="NYC-026"/>
        <s v="NYC-027"/>
        <s v="NYC-028"/>
        <s v="NYC-029"/>
        <s v="NYC-030"/>
        <s v="NYC-031"/>
        <s v="NYC-032"/>
        <s v="NYC-033"/>
        <s v="NYC-034"/>
        <s v="NYC-035"/>
        <s v="NYC-036"/>
        <s v="NYC-037"/>
        <s v="NYC-038"/>
        <s v="NYC-039"/>
        <s v="NYC-040"/>
        <s v="HK-001"/>
        <s v="HK-002"/>
        <s v="HK-003"/>
        <s v="HK-004"/>
        <s v="HK-005"/>
        <s v="HK-006"/>
        <s v="HK-007"/>
        <s v="HK-008"/>
        <s v="HK-009"/>
        <s v="HK-010"/>
        <s v="HK-011"/>
        <s v="HK-012"/>
        <s v="HK-013"/>
        <s v="HK-014"/>
        <s v="HK-015"/>
        <s v="HK-016"/>
        <s v="HK-017"/>
        <s v="HK-018"/>
        <s v="HK-019"/>
        <s v="HK-020"/>
        <s v="HK-021"/>
        <s v="HK-022"/>
        <s v="HK-023"/>
        <s v="HK-024"/>
        <s v="HK-025"/>
        <s v="HK-026"/>
        <s v="HK-027"/>
        <s v="HK-028"/>
        <s v="HK-029"/>
        <s v="HK-030"/>
        <s v="HK-031"/>
        <s v="HK-032"/>
        <s v="HK-033"/>
        <s v="HK-034"/>
        <s v="HK-035"/>
        <s v="HK-036"/>
        <s v="HK-037"/>
        <s v="HK-038"/>
        <s v="HK-039"/>
        <s v="HK-040"/>
      </sharedItems>
    </cacheField>
    <cacheField name="Tier" numFmtId="0">
      <sharedItems>
        <s v="National/Federal"/>
        <s v="State/Territory"/>
        <s v="Institutional"/>
        <s v="Faculty/School"/>
        <s v="Course-wide"/>
      </sharedItems>
    </cacheField>
    <cacheField name="Region" numFmtId="0">
      <sharedItems>
        <s v="NYC"/>
        <s v="Hong Kong"/>
      </sharedItems>
    </cacheField>
    <cacheField name="Jurisdiction / Institution" numFmtId="0">
      <sharedItems>
        <s v="U.S. Office of Management and Budget"/>
        <s v="U.S. Department of Education"/>
        <s v="U.S. Federal Government"/>
        <s v="National Institute of Standards and Technology (NIST)"/>
        <s v="Office of the State Comptroller; Division of State Government Accountability"/>
        <s v="New York City Office of Technology and Innovation (OTI)"/>
        <s v="New York State Office of Information Technology Services (ITS)"/>
        <s v="Columbia University"/>
        <s v="New York University"/>
        <s v="New York University (Stern)"/>
        <s v="New York University (Tisch School of the Arts)&#10;"/>
        <s v="New York University (Tisch School of the Arts Provost)"/>
        <s v="City University of New York (CUNY)"/>
        <s v="Baruch College (CUNY)"/>
        <s v="Kingsborough Community College (CUNY)"/>
        <s v="The City College of New York (CUNY)"/>
        <s v="Hunter College (CUNY)"/>
        <s v="Queens College (CUNY)"/>
        <s v="Teachers College, Columbia University"/>
        <s v="Columbia Course 1"/>
        <s v="Columbia Course 2"/>
        <s v="Columbia Course 3"/>
        <s v="Columbia/TC Course 4"/>
        <s v="Columbia Course 5"/>
        <s v="Columbia Course 6"/>
        <s v="NYU Course 1"/>
        <s v="NYU Course 2"/>
        <s v="NYU Course 3"/>
        <s v="NYU Course 4"/>
        <s v="NYU Course 5"/>
        <s v="NYU Course 6"/>
        <s v="CUNY — Course 1"/>
        <s v="CUNY — Course 2"/>
        <s v="CUNY — Course 3"/>
        <s v="CUNY — Course 4"/>
        <s v="CUNY — Course 5"/>
        <s v="Central Government of the PRC (recorded by HKSAR Policy Address)"/>
        <s v="The State Council of the People's Republic of China"/>
        <s v="HKSAR Digital Policy Office"/>
        <s v="HKSAR Innovation, Technology and Industry Bureau"/>
        <s v="University Grants Committee (UGC)"/>
        <s v="news.gov.hk"/>
        <s v="Legislative Council Panel on Education"/>
        <s v="AI Education&#10;UGC HKTEA AI CoP"/>
        <s v="HKU Teaching and Learning Innovation Centre"/>
        <s v="HKU Libraries"/>
        <s v="HKU (TaLiC)"/>
        <s v="HKU"/>
        <s v="HKU Faculty of Law"/>
        <s v="HKU Research Services"/>
        <s v="HKU SPACE"/>
        <s v="Lingnan University"/>
        <s v="Lingnan University - ITSC"/>
        <s v="Lingnan University - Teaching and Learning Centre"/>
        <s v="Lingnan University - Department of Translation"/>
        <s v="Lingnan University - Department of English"/>
        <s v="Lingnan University - &#10;School of Data Science"/>
        <s v="Lingnan University - Registry"/>
        <s v="PolyU - Information Technology Services Office"/>
        <s v="Hong Kong Polytechnic University (PolyU)"/>
        <s v="PolyU - School of Design"/>
        <s v="PolyU - English Language Centre"/>
        <s v="PolyU Library"/>
        <s v="PolyU EDC"/>
        <s v="PolyU"/>
        <s v="PolyU CPCE (including PolyU HKCC and SPEED)"/>
        <s v="PolyU - Department of English and Communication"/>
      </sharedItems>
    </cacheField>
    <cacheField name="Institution" numFmtId="0">
      <sharedItems containsBlank="1">
        <m/>
        <s v="Columbia"/>
        <s v="NYU"/>
        <s v="CUNY"/>
        <s v="HKU"/>
        <s v="Lingnan"/>
        <s v="PolyU"/>
      </sharedItems>
    </cacheField>
    <cacheField name="Document Title" numFmtId="0">
      <sharedItems>
        <s v="OMB M-25-21: Accelerating Federal Use of AI through Innovation, Governance, and Public Trust"/>
        <s v="U.S. Department of Education Dear Colleague Letter on AI and Education Outcomes"/>
        <s v="Removing Barriers to American Leadership in Artificial Intelligence"/>
        <s v="Artificial Intelligence and the Future of Teaching and Learning"/>
        <s v="Artificial Intelligence Risk Management Framework: Generative Artificial Intelligence Profile "/>
        <s v="New York State Artificial Intelligence Governance Audit"/>
        <s v="AI Public Participation &amp;&#10;Engagement Guidance"/>
        <s v="NYC Use Guidance: Generative Artificial Intelligence"/>
        <s v="NYS ITS Acceptable Use of Artificial Intelligence Technologies"/>
        <s v="Generative AI Policy (Office of the Provost)"/>
        <s v="Best Practices for Responsible AI Use&#10;"/>
        <s v="Teaching with Generative AI — NYU FAQ"/>
        <s v="Academic Integrity and Syllabus Support in the Age of Generative AI"/>
        <s v="Teaching and Learning with Generative AI at NYU Stern"/>
        <s v="Tisch Academic Integrity"/>
        <s v="Adapting Writing Assignments to Generative AI&#10;"/>
        <s v="CUNY AI Academic Hub (General)"/>
        <s v="Guidelines for AI Use at Baruch College"/>
        <s v="Kingsborough Community College Academic Integrity Policy"/>
        <s v="AI Across CUNY"/>
        <s v="CUNY Academic Integrity Policy&#10;"/>
        <s v="Generative AI in the Classroom: Best Practices, a CETLL Guide"/>
        <s v="Recommendations for Generative AI Use for teaching at TC&#10;"/>
        <s v="CSEE 4119: Introduction to Computer Networks"/>
        <s v="PSYC UN1610: Intro to Statistics for Behavioral Scientists"/>
        <s v="COMS 4705: Natural Language Processing"/>
        <s v="HUDK 4051 Learning Analytics: Process and Theory"/>
        <s v="COMS 4160: Introduction to Computer Graphics"/>
        <s v="Generative AI for Business"/>
        <s v="Programming &amp; Algorithms using Python - Stern"/>
        <s v="Global Strategy - Stern"/>
        <s v="Tax Policy Seminar - NYU Law"/>
        <s v="Environmental Justice Seminar - NYU Law"/>
        <s v="ENVIRONMENTAL JUSTICE SEMINAR"/>
        <s v="Foundations of FinTech"/>
        <s v="MATH 190: College Algebra"/>
        <s v="ENV 3070: Agroecology"/>
        <s v="Psychology 32: Human Growth and Development"/>
        <s v="BBA 313: Foundations of Entrepreneurship"/>
        <s v="FNES 722 EXERCISE, ENERGY BALANCE, AND BODY&#10;COMPOSITION"/>
        <s v="Factsheets on “Outline of the 14th Five-Year Plan for National Economic and Social Development of the People’s Republic of China and the Long-Range Objectives Through the Year 2035”"/>
        <s v="&quot;AI Plus&quot; guidelines (Chinese)"/>
        <s v="Ethical Artificial Intelligence Framework"/>
        <s v="Hong Kong Generative Artificial Intelligence Technical and Application Guideline"/>
        <s v="Hong Kong Innovation and Technology Development Blueprint"/>
        <s v="UGC establishes Fund for Innovative Technology-in-Education"/>
        <s v="Cultivating AI innovation on campus"/>
        <s v="Major Policy Initiatives of the Education Bureau in 2026"/>
        <s v="About Us"/>
        <s v="HKU GenAI Services"/>
        <s v="AI Literacy - LibGuides at HKU"/>
        <s v="Academic Integrity and University-wide Core Principles for Using AI"/>
        <s v="Policy for AI in Education"/>
        <s v="Guidelines on the Responsible Use of Generative AI in Research at The University of Hong Kong"/>
        <s v="Responsible Use of Generative AI in Research at HKU"/>
        <s v="Artificial Intelligence Literacy I (AILT1001)"/>
        <s v="Regulations and Syllabuses&#10;Bachelor of Journalism [BJ]"/>
        <s v="Regulations and Syllabuses of the Double Degree of BEd and BSc"/>
        <s v="Policy on Use of Generative Artificial Intelligence for Teaching and Learning"/>
        <s v="GenAI Use Cases Hub"/>
        <s v="Lingnan’s big plan to advance data literacy"/>
        <s v="Generative AI Service"/>
        <s v="Guidelines for Using Generative Artificial Intelligence (GAI) Tools at Lingnan University"/>
        <s v="Subject: Use of Generative Artificial Intelligence (GAI) Tools Term 1 2024-25 (Memo)"/>
        <s v="AI Usage Policy for UG and TPG Programmes"/>
        <s v="ENG2101"/>
        <s v="ENG3009"/>
        <s v="CDS2002"/>
        <s v="Core Curriculum"/>
        <s v="PolyU GenAI"/>
        <s v="Guidelines for Students on the Use of Generative Artificial Intelligence"/>
        <s v="Generative AI Use Guideline &amp; Design Research Integrity "/>
        <s v="Brainstorming And Researching Ideas - The S.P.A.C.E. Framework"/>
        <s v="Harnessing GenAI in Your Academic Journey: GenAI &amp; Academic Integrity"/>
        <s v="Explore a topic - Generative AI"/>
        <s v="Subject Description Form - SO2D01"/>
        <s v="FITE Case Study (1) - Redesigning and Implementing GenAI-ready Assessment"/>
        <s v="Student Handbook 2025/26"/>
        <s v="Artificial Intelligence and Data Analytics Requirement"/>
        <s v="Generative AI - Inappropriate usage and limitations | Department of English and Communication"/>
      </sharedItems>
    </cacheField>
    <cacheField name="Document Type" numFmtId="0">
      <sharedItems>
        <s v="Official Guidance"/>
        <s v="Executive Order"/>
        <s v="Other"/>
        <s v="University Policy"/>
        <s v="Library Guide"/>
        <s v="FAQ/Resource Page"/>
        <s v="Syllabus"/>
        <s v="Law/Regulation"/>
      </sharedItems>
    </cacheField>
    <cacheField name="Publication Date">
      <sharedItems containsDate="1" containsBlank="1" containsMixedTypes="1">
        <d v="2025-04-03T00:00:00Z"/>
        <d v="2025-07-22T00:00:00Z"/>
        <d v="2025-01-23T00:00:00Z"/>
        <d v="2023-05-01T00:00:00Z"/>
        <d v="2024-07-26T00:00:00Z"/>
        <d v="2025-12-15T00:00:00Z"/>
        <d v="2025-12-30T00:00:00Z"/>
        <d v="2024-01-01T00:00:00Z"/>
        <n v="2025.0"/>
        <d v="2026-01-09T00:00:00Z"/>
        <d v="2025-02-20T00:00:00Z"/>
        <m/>
        <n v="2026.0"/>
        <d v="2025-08-19T00:00:00Z"/>
        <d v="2025-03-01T00:00:00Z"/>
        <s v="Fall 2025"/>
        <s v="Summer 2024"/>
        <s v="Spring 2026"/>
        <s v="Fall 2024"/>
        <n v="2021.0"/>
        <d v="2025-08-27T00:00:00Z"/>
        <d v="2025-11-30T00:00:00Z"/>
        <d v="2025-12-01T00:00:00Z"/>
        <d v="2022-12-22T00:00:00Z"/>
        <d v="2023-06-28T00:00:00Z"/>
        <d v="2026-04-26T00:00:00Z"/>
        <d v="2024-10-01T00:00:00Z"/>
        <d v="2024-08-09T00:00:00Z"/>
        <d v="2025-01-16T00:00:00Z"/>
        <d v="2026-01-05T00:00:00Z"/>
        <d v="2025-09-01T00:00:00Z"/>
        <d v="2026-04-16T00:00:00Z"/>
        <d v="2026-02-01T00:00:00Z"/>
      </sharedItems>
    </cacheField>
    <cacheField name="Source URL" numFmtId="0">
      <sharedItems>
        <s v="https://www.whitehouse.gov/wp-content/uploads/2025/02/M-25-21-Accelerating-Federal-Use-of-AI-through-Innovation-Governance-and-Public-Trust.pdf"/>
        <s v="https://www.ed.gov/media/document/opepd-ai-dear-colleague-letter-7222025-110427.pdf"/>
        <s v="https://www.whitehouse.gov/presidential-actions/2025/01/removing-barriers-to-american-leadership-in-artificial-intelligence/"/>
        <s v="https://www.ed.gov/sites/ed/files/documents/ai-report/ai-report.pdf"/>
        <s v="https://doi.org/10.6028/NIST.AI.600-1"/>
        <s v="https://www.osc.ny.gov/state-agencies/audits/2025/04/03/new-york-state-artificial-intelligence-governance?utm_source=chatgpt.com"/>
        <s v="https://www.nyc.gov/assets/oti/downloads/pdf/NYC-OTI_Guidance_AI-Public-Participation-and-Engagement.pdf"/>
        <s v="https://www.nyc.gov/assets/oti/downloads/pdf/New-York-City-Generative-AI-Use-Guidance.pdf"/>
        <s v="https://its.ny.gov/system/files/documents/2026/01/nys-p24-001-acceptable-use-of-ai.pdf"/>
        <s v="https://provost.columbia.edu/content/office-senior-vice-provost/ai-policy"/>
        <s v="https://etc.cuit.columbia.edu/news/best-practices-responsible-ai-use"/>
        <s v="https://www.nyu.edu/faculty/teaching-and-learning-resources/teaching-with-generative-tools/frequently-asked-questions.html"/>
        <s v="https://steinhardt.nyu.edu/faculty-and-staff/academic-affairs/steinhardt-ai-hub/academic-integrity-and-syllabus-support-age"/>
        <s v="https://sites.google.com/stern.nyu.edu/teaching-learning-gen-ai/home"/>
        <s v="https://tisch.nyu.edu/faculty/academic-integ"/>
        <s v="https://docs.google.com/document/d/1CbWKCBCMuO1kJlsK-ukD5lXGVuKuSzq8H8MFAQVvdDM/edit?usp=sharing"/>
        <s v="https://www.cuny.edu/academics/ai-academic-hub/"/>
        <s v="https://provost.baruch.cuny.edu/artificial-intelligence-think-tank/ai-use-guidance/"/>
        <s v="https://www.kbcc.cuny.edu/studentaffairs/student_conduct/academic_integrity.html"/>
        <s v="https://www.ccny.cuny.edu/tlc/making-your-course-available?srsltid=AfmBOoojIHHL2OxDCdrK-0Xc9elMyrAnNWVcOtEzwybtMdTvH4Pbcfy-"/>
        <s v="https://www.hunter.cuny.edu/center-for-digital-learning-and-innovative-pedagogy/online-learning-resources/academic-integrity-policy/"/>
        <s v="https://www.qc.cuny.edu/cetll/wp-content/uploads/sites/138/2026/03/Generative-AI-in-the-Classroom-Best-Practices-a-CETLL-Guide_ACCESSIBLE_3.19.pdf"/>
        <s v="https://www.tc.columbia.edu/digitalfuturesinstitute/ai-in-education/recommendations-for-generative-ai-use-at-tc/"/>
        <s v="CSEE 4119_ An Introduction to Computer Networks (Fall 2025).pdf"/>
        <s v="Fall 2025 Syllabus UN1610 Fox-Glassman Statistics for Behavioral Scientists.pdf"/>
        <s v="COMS 4705_ Natural Language Processing.pdf"/>
        <s v="HUDK4051_Sp26_Syllabus_Yu.pdf"/>
        <s v="COMS 4160 — Introduction to Computer Graphics (Fall 2025).pdf"/>
        <s v="olivier toubia - B8609 Generative AI for Business Fall 2025 Toubia.pdf"/>
        <s v="2025Programming_in_Python_Software_DevSosulski (1).pdf"/>
        <s v="MGMT-GB.2340_10_F2026.pdf"/>
        <s v="Tax Policy Seminar Syllabus NYU Spring 2026_2DF65D21-D8A0-861C-BF9EDC4A13E27F5A.pdf"/>
        <s v="Early syllabus Spring 2026_33DBB621-E564-129B-AD1D4CB561DDC5F8.pdfg"/>
        <s v="ENVIRONMENTAL JUSTICE SEMINAR.pdf"/>
        <s v="2024FoF-Fall2024-Sec10-syllabus-2024-10-10.pdf"/>
        <s v="Syllabus_190.pdf"/>
        <s v="viewcontent.pdf"/>
        <s v="Psych32.pdf"/>
        <s v="BBA 313 - Foundations of Entrepreneurship.pdf"/>
        <s v="FNES 722 EXERCISE ENERGY BALANCE AND BODY COMPOSITION.pdf"/>
        <s v="https://www.policyaddress.gov.hk/2021/eng/pdf/publications/14-5/14-5-full.pdf"/>
        <s v="https://www.mee.gov.cn/zcwj/gwywj/202508/t20250827_1126207.shtml"/>
        <s v="https://www.digitalpolicy.gov.hk/en/our_work/data_governance/policies_standards/ethical_ai_framework/doc/Ethical_AI_Framework_en.pdf"/>
        <s v="https://www.digitalpolicy.gov.hk/en/our_work/data_governance/policies_standards/ethical_ai_framework/doc/HK_Generative_AI_Technical_and_Application_Guideline_en.pdf"/>
        <s v="https://www.itib.gov.hk/en/publications/I&amp;T%20Blueprint%20Book_EN_single_Digital.pdf"/>
        <s v="https://www.ugc.edu.hk/eng/ugc/about/press_speech_other/press/2023/pr20230628.html"/>
        <s v="https://www.news.gov.hk/eng/2026/04/20260424/20260424_152830_500.html"/>
        <s v="https://www.legco.gov.hk/yr2026/english/panels/ed/papers/ed20260127cb3-24-1-e.pdf"/>
        <s v="https://aicop.hktea.hku.hk/about-us"/>
        <s v="https://tl.hku.hk/genai/hku-genai-services/"/>
        <s v="https://libguides.lib.hku.hk/AI-literacy/Home"/>
        <s v="https://talic.hku.hk/innovation/ai-ethics/core-principles/"/>
        <s v="https://aied.talic.hku.hk/aipolicy/"/>
        <s v="https://researchintegrity.law.hku.hk/guidelines-on-the-responsible-use-of-generative-ai-in-research-at-the-university-of-hong-kong/"/>
        <s v="https://www.rss.hku.hk/integrity/generative-ai"/>
        <s v="https://ailt.cds.hku.hk/"/>
        <s v="https://web.socsc.hku.hk/wp-content/uploads/2026/03/BJ_2025-26.pdf"/>
        <s v="https://www4.hku.hk/pubunit/drcd/files/ugdr2025-26/Education/BEd&amp;BSc.pdf"/>
        <s v="https://hkuspace.hku.hk/news/detail/hku-policy-on-use-of-generative-artificial-intelligence-for-teaching-and-learning"/>
        <s v="https://talic.hku.hk/innovation/ai-cop/hub/teaching-and-learning-application/"/>
        <s v="https://www.ln.edu.hk/president/chatgpt/index.html"/>
        <s v="https://www.ln.edu.hk/itsc/services/teaching-learning-research-services/generative-ai-service"/>
        <s v="https://www.ln.edu.hk/tlc/f/page/107180/Guidelines%20for%20Using%20GAI%20Tools%20%28Oct%202024%29.pdf"/>
        <s v="https://www.ln.edu.hk/tlc/f/page/107180/Use%20of%20Generative%20Artificial%20Intelligence%20%28GAI%29%20Tools%20Term%201%202024-25.pdf"/>
        <s v="https://www.ln.edu.hk/tran/f/page/116062/ai-usage-policy-for-ug-and-tpg-programmes.pdf"/>
        <s v="https://www.ln.edu.hk/eng/f/page/104051/ENG2101_AQAC_2024.pdf"/>
        <s v="https://www.ln.edu.hk/eng/f/page/104051/eng3009.pdf"/>
        <s v="https://www.ln.edu.hk/sds/dai/ds/f/page/105561/CDS2002%20Introduction%20to%20Artificial%20Intelligence%20%28Required%29.190825.pdf"/>
        <s v="https://www.ln.edu.hk/reg/undergraduate-programmes/core-curriculum"/>
        <s v="https://www.polyu.edu.hk/its/it-services/polyu-genai/"/>
        <s v="https://www.polyu.edu.hk/ar/docdrive/polyu-students/Student-guide-on-the-use-of-GenAI-revised-260105.pdf"/>
        <s v="https://www.polyu.edu.hk/sd/-/media/department/sd/content/research-2/research-integrity/generative-ai-use-guideline--design-research-integrity202509.pdf"/>
        <s v="https://www.polyu.edu.hk/elc/docdrive/genai_at_elc/GenAI@ELC_Brainstorming_and_Researching_Ideas.pdf"/>
        <s v="https://libguides.lb.polyu.edu.hk/genai-academic/ai-academic-integrity"/>
        <s v="https://www.polyu.edu.hk/edc/explore-a-topic/generative-ai/"/>
        <s v="https://www.polyu.edu.hk/so/-/media/department/so/content/study/so2d01.pdf"/>
        <s v="https://www.polyu.edu.hk/edc/-/media/department/edc/content/explore-a-topic/generative-ai/fite-case-study---lydia.pdf"/>
        <s v="https://www.cpce-polyu.edu.hk/docs/cpceacademicregistrycarlibraries/default-document-library/cpce_student_handbook.pdf"/>
        <s v="https://www.polyu.edu.hk/cus/student/4-year-undergraduate-student/general-university-requirements/for-students-who-admitted-from-2022-23/artificial-intelligence-and-data-analytics-requirement/"/>
        <s v="https://www.polyu.edu.hk/engl/experience-and-opportunities/generative-ai/inappropriate-usage-and-limitations/"/>
      </sharedItems>
    </cacheField>
    <cacheField name="Stance" numFmtId="0">
      <sharedItems>
        <s v="Functional"/>
        <s v="Encouraging"/>
        <s v="Cautious"/>
        <s v="Prohibitive"/>
      </sharedItems>
    </cacheField>
    <cacheField name="Disclosure" numFmtId="0">
      <sharedItems>
        <s v="Not specified"/>
        <s v="Recommended"/>
        <s v="Required"/>
        <s v="Conditional"/>
      </sharedItems>
    </cacheField>
    <cacheField name="Discretion" numFmtId="0">
      <sharedItems>
        <s v="Gov-mandated"/>
        <s v="Hybrid/Mixed"/>
        <s v="Not specified"/>
        <s v="Instructor decides"/>
        <s v="Faculty/Inst. decides"/>
      </sharedItems>
    </cacheField>
    <cacheField name="Focus (Primary)" numFmtId="0">
      <sharedItems>
        <s v="Privacy/Data/Ethics"/>
        <s v="Pedagogy/Learning"/>
        <s v="Professional Readiness"/>
        <s v="Equity"/>
        <s v="Academic Integrity"/>
        <s v="AI Literacy"/>
      </sharedItems>
    </cacheField>
    <cacheField name="Focus (Secondary)" numFmtId="0">
      <sharedItems containsBlank="1">
        <s v="Professional Readiness"/>
        <s v="AI Literacy"/>
        <s v="Equity"/>
        <s v="Privacy/Data/Ethics"/>
        <s v="Academic Integrity"/>
        <s v="Pedagogy/Learning"/>
        <m/>
      </sharedItems>
    </cacheField>
    <cacheField name="Enforcement" numFmtId="0">
      <sharedItems>
        <s v="Guidance only"/>
        <s v="Referenced to integrity code"/>
        <s v="Explicit penalties"/>
        <s v="None stated"/>
      </sharedItems>
    </cacheField>
    <cacheField name="Coverage" numFmtId="0">
      <sharedItems>
        <s v="All community"/>
        <s v="Both"/>
        <s v="Faculty only"/>
        <s v="Students only"/>
        <s v="Researchers"/>
      </sharedItems>
    </cacheField>
    <cacheField name="Key Quote (verbatim)" numFmtId="0">
      <sharedItems>
        <s v="“Agencies are directed to accelerate the Federal use of AI by focusing on three key priorities: innovation, governance, and public trust.”"/>
        <s v="“The Department encourages grantees to explore how AI can enhance teaching and learning, expand access, and support educators, without replacing the critical role they play.”"/>
        <s v="&quot;It is the policy of the United States to sustain and enhance America’s global AI dominance in order to promote human flourishing, economic competitiveness, and national security.&quot;"/>
        <s v="&quot;In summary, it is imperative to address AI in education now to realize key opportunities, prevent and mitigate emergent risks, and tackle unintended consequences.&quot;"/>
        <s v="&quot;This document defines risks that are novel to or exacerbated by the use of GAI. After introducing and describing these risks, the document provides a set of suggested actions to help organizations govern, map, measure, and manage these risks.&quot;"/>
        <s v="NYS does not have an effective AI governance framework. While the AI Policy outlines certain requirements or recommendations for agencies to consider, it lacks adequate guidance and procedures on how these agencies can meet these expectations."/>
        <s v="&quot;As AI tools are increasingly used and incorporated into agencies’ existing software and systems, a careful consideration of varied real or potential public impacts will be critical. Agencies should seek to integrate meaningful public participation and en"/>
        <s v="&quot;The City is committed to a responsible approach to emerging technologies. This Use Guidance provides a framework for the responsible use of GenAI by City personnel, aligned with the City’s AI Principles, and applicable laws and policies.&quot;"/>
        <s v="&quot;Through the responsible use of AI, SEs can drive innovation, increase operational efficiencies, and better serve New Yorkers while protecting privacy, managing risk, and promoting accountability, safety, and equity. Agencies are encouraged to responsibly"/>
        <s v="&quot;Generative AI tools have the capacity to expedite existing processes and make possible new ones. These tools also have the potential to foster student learning and advance many aspects of research and health care delivery. While the University supports t"/>
        <s v="CUIT’s guidance is designed to help the Columbia community benefit from AI while avoiding common failure points, particularly when institutional or sensitive data is involved.&#10;"/>
        <s v="&quot;Generative AI is a new arrival in the academic environment and can be used in a wide variety of ways. Because of this novelty and flexibility, there are few standard approaches to its use beyond an Faculty/Inst. decides restriction on taking credit for A"/>
        <s v="&quot;Creating clear policies around AI use is essential to maintaining academic integrity and setting student expectations. These policies should outline when and how AI tools like ChatGPT, Perplexity.ai, or Grammarly can be used and ensure students understan"/>
        <s v="“This resource was created by the Learning Science Lab to support the NYU Stern community in thinking deliberately about the use of generative AI (genAI) and other related technologies as they arise.”"/>
        <s v="Generative AI: Please note, with recent developments in technologies like ChatGPT, the existence of a well-written paragraph is no longer evidence of human effort. To read the Provost's notes on how to adapt writing assignments in the age of generative AI"/>
        <s v="Even if an instructor does not intend to change individual assignments, the availability and generality of these tools increases the need for clarity around the instructor’s expectations. Whatever strategies an instructor might adopt for individual assign"/>
        <s v="&quot;Our Vision is shaping the Future of Human-AI Powered Education. CUNY is at the forefront of AI-driven transformation in higher education. Our mission is to harness AI’s potential to empower learning, drive research, and foster innovation—ensuring equitab"/>
        <s v="&quot;Faculty are encouraged to integrate artificial intelligence education into their courses as appropriate to their disciplines, but are not obligated to do so. All syllabi should include a course- and discipline-appropriate policy on the use of generative "/>
        <s v="&quot;Example of cheating include: (...) Submitting content generated by another person or an AI tool or any other source as solely your own work as your own, including, but not limited to, material obtained in whole or in part from commercial study or homewor"/>
        <s v="&quot;Our goal is to provide a collaborative space for sharing effective strategies for the responsible and critical use of AI, particularly within the CUNY community.&quot;"/>
        <s v="Preparing students to learn from and use AI responsibly and ethically is critical to the University’s mission, to ensuring academic integrity, to securing the rigor of the University’s academic programs. Further, students must become facile with the use o"/>
        <s v="Currently, there is no specific CUNY or QC&#10;policy on the use of artificial intelligence in&#10;the classroom outside of mentions of AI in the&#10;CUNY Academic Integrity Policy. This means&#10;that, as instructors, we have a lot of flexibility&#10;and responsibility to c"/>
        <s v="&quot;TC provides flexibility for instructors to experiment with and use generative AI in their courses. Each TC instructor should set specific policies about student use of generative AI for their course assignments&quot;"/>
        <s v="&quot;The use of ChatGPT or any other generative artificial intelligence (AI) tools at any stage of the work process, including preliminary stages, is strictly prohibited. Violations of this policy will be considered academic misconduct.&quot;"/>
        <s v="&quot;“Doing your own work” means making at attempt at each problem without the support of&#10;AI. There are lots of tools that can do stats problems for you. You will do best in this course if&#10;you use these only for checking your work; you will have a very bad ti"/>
        <s v="&quot;AI tools (e.g., ChatGPT, Cursor, Claude Code) are fully allowed for Assignments 1–4. While I recommend doing the assignments on your own (or with minimal AI hints) as prep for exams, you may use AI to fully solve them if you wish.&quot;"/>
        <s v="&quot;Generative AI tools are encouraged in this course for research and completion of assignments,&#10;provided that all AI-generated content is clearly attributed as such in the student’s work.&quot;"/>
        <s v="“You should not use generative AI to produce the solution to any of the assignments. You are allowed to use generative AI to produce your final project image (but do not lie about it if asked).”"/>
        <s v="“You will use Generative AI tools for your work in this course. When you use any of these tools to complete assignments, you must describe how you used them to generate your response to the assignment.”"/>
        <s v="&quot;Large language models (LLMS) may be used in this class, however you must cite it as you would any other reference material. Failure to acknowledge that content was GenAI generated will be considered a violation of academic integrity.&quot;"/>
        <s v="&quot;Your thoughts, opinions, and personal experiences are integral part of the learning process. As such,&#10;the use of generative AI is prohibited in this class. In this class, students are to engage in authentic&#10;self-reflection and genuine thinking.&quot;"/>
        <s v="&quot;That being said, for purposes of this course, for the response papers (only), the use of large language models/generative AI is expressly permitted as long as (a) you put in red font any material generated by AI; (b) you check any AI-generated content an"/>
        <s v="&quot;Students should not use ChatGPT or other generative AI tools as a shortcut or substitute for coming up with their own answers to the prompts. Use of AI tools to help gather information should be done with caution.&quot;"/>
        <s v="In this assignment, we are expecting students to think critically about the issues on their own and&#10;in collaboration with their group members. Students should not use ChatGPT or other generative&#10;AI tools as a shortcut or substitute for coming up with thei"/>
        <s v="“You can use AI at your own risk, but you are responsible for the accuracy and integrity of anything that you submit.”"/>
        <s v="&quot;You may use generative AI tools (such as ChatGPT) to assist with homework in this course, provided you clearly indicate when and how AI was used, including the specific tool and model. All submitted work must reect your own understandingyou are responsib"/>
        <s v="&quot;Use of generative AI tools (e.g. ChatGPT) is allowed. For each written assignment where generative AI is employed, you must include a cover letter describing what tool(s) you used, how you used it, why it was useful, and any shortcomings or limitations y"/>
        <s v="&quot;The use of generative AI tools is permitted in this course for the following activities: Brainstorming and researching; Drafting an outline; Organizing your thoughts; Checking grammar. Please cite the AI tool you use, if used. Please share the date of ac"/>
        <s v="&quot;The syllabus references CUNY’s updated academic integrity policy addressing GenAI tools such as ChatGPT and Copilot.&quot;"/>
        <s v="“Using artificial intelligence tools to generate content for assignments or exams, including but not limited to language models or code generators, without written authorization from the instructor.”"/>
        <s v="National Development Strategy: &quot;..implement a batch of forward-looking and strategic national technological programmes focusing on frontier fields, including artificial intelligence,,,&quot;&#10;&#10;Central Government's Support for Hong Kong: &quot;...support Hong Kong to"/>
        <s v="推行更富成效的学习方式。把人工智能融入教育教学全要素、全过程，创新智能学伴、智能教师等人机协同教育教学新模式，推动育人从知识传授为重向能力提升为本转变，加快实现大规模因材施教，提高教育质量，促进教育公平。构建智能化情景交互学习模式，推动开展方式更灵活、资源更丰富的自主学习。鼓励和支持全民积极学习人工智能新知识、新技术。&#10;(Promote more effective learning methods. Integrate artificial intelligence into every element"/>
        <s v="The adoption of Ethical AI Framework is a step that establishes a common approach and structure to govern the development and deployment of AI applications with the intention to maximise the benefits of the application of AI in IT projects (...)"/>
        <s v="&quot;The Guideline aims to ensure the timely communication of governance developments and the sharing of best practices. It aims to balance innovation with social responsibility in the development of generative AI in Hong Kong, thereby maximising the benefits"/>
        <s v="In the coming five years, the Government’s target is that 35% of the UGC-funded students will be studying subjects related to science, technology, engineering, arts and mathematics and 60% will be studying subjects relevant to Hong Kong’s development into"/>
        <s v="The University Grants Committee (UGC), with support from its Quality Assurance Council (QAC), today (June 28) announced the launch of the Fund for Innovative Technology-in-Education (FITE) with a funding allocation of $100 million.&#10;&#10;&quot;While it is widely ac"/>
        <s v="the 2026-27 Budget proposed $50 million to fuel a city-wide AI culture - supporting public bodies, technology companies and tertiary institutions in hosting courses and competitions as part of a roadmap to integrate AI education into everyday life."/>
        <s v="The EDB has earmarked $2 billion under the Quality Education Fund (QEF) to implement digital education development measures. Approximately $500 million of this amount will be allocated to the three-year 'AI for Empowering Learning and Teaching Funding Pro"/>
        <s v="supported by the Hong Kong University Grants Committee (UGC). It aims to bring together educators, administrators, and experts from Hong Kong’s higher education and school sectors, as well as those from HEIs around the world, to drive innovative implement"/>
        <s v="for staff and students to prepare for the future and reap benefits from the immense potential AI has to offer. Limited to teaching, learning, work and research-related purposes only, these AI assistants can help users resolve queries and assist in tasks."/>
        <s v="This guide with curated learning resources aims to help HKU students and staff 1) deepen their understanding of AI, 2) learn about some Generative AI (GenAI) tools or AI-empowered tools that can enhance their learning and research experience, and 3) make "/>
        <s v="Teachers must be very clear in their guidance to students as to what is acceptable use of AI within the activities of their course and specifically on their assignments intended for assessment. Part of the instructor’s guidance may be to require students "/>
        <s v="Teachers and course coordinators need to consider if they will include and/or integrate GenAI into assessments and, if so, how to ensure assessments remain authentic and fair.&#10;&#10;academic integrity is an issue of concern for staff and students alike"/>
        <s v="Use of GenAI for ideation and background research is only acceptable if...&#10;&#10;Students and assistants should seek approval from their supervisors on plans to use GenAI tools in the research process, and the usage should be well documented. Research students"/>
        <s v="Clearly disclose GenAI tool usage in research outputs, publications, or presentations, for example the type of GenAI used, data sources, and potential limitations.&#10;Maintain detailed documentation of GenAI prompts, outputs, and decision-making processes in"/>
        <s v="Cheating: Such as copying or sharing answers, using unauthorized notes, online search engines, or AI tools including ChatGPT or Copilot in quizzes, tests, or other assessments without explicit permission.&#10;&#10;Any student found to have committed academic misc"/>
        <s v="Artificial Intelligence Literacy Courses (6 credits)&#10;Candidates are required to complete 6 credits of artificial intelligence literacy, comprising two&#10;3-credit microcredential courses:&#10;AILT1001. Artificial Intelligence Literacy I (3 credits)&#10;AILT9017. Dig"/>
        <s v="To complete the curriculum, candidates shall ... [complete] 6 credits in artificial intelligence literacy"/>
        <s v="Please note that HKU SPACE will follow the University’s policy as per previous announcements from the Deputy Director (Academic Services) on the School’s staff intranet."/>
        <s v="GenAI Community of Practice (CoP)"/>
        <s v="Lingnan faculty and students have to be AI literate&#10;&#10;they will be able to open up new dimensions in liberal arts education and ensure that each graduating class is multifaceted and future-ready.&#10;&#10;we have already purchased the licence for version 3.5 of Ch"/>
        <s v="Lingnan University fully embraces the use of AI tools in support of its teaching and learning. "/>
        <s v="While Lingnan University enthusiastically embraces innovative technologies in education, it firmly upholds the principle that students must adhere to rigorous standards of academic integrity in all forms of assessments. The following guidelines are design"/>
        <s v="In Term 1, 2024-25, teaching staff can choose to allow their students to use GAI tools to assist&#10;their preparation for assignments, assessments, and other educational practices. Teaching&#10;staff should communicate with students clearly about the use or not "/>
        <s v="Lingnan students are allowed to use AI tools, but&#10;at the same time they need to follow the university’s academic and ethical guidelines.&#10;&#10;In line with the University Guidelines, students are expected to declare their usage of AI tools. &#10;&#10;It is agreed by t"/>
        <s v="Students must adhere to the University’s guidelines and practices when using Generative&#10;Artificial Intelligence (AI) tools. The official documents “Guidelines for Using GAI Tools&#10;at Lingnan University” and “Best Practices for Ethical and Responsible Use o"/>
        <s v="Students must adhere to the University’s guidelines and practices when using Generative&#10;Artificial Intelligence (GAI) tools. The official documents “Guidelines for Using GAI&#10;Tools at Lingnan University” and “Best Practices for Ethical and Responsible Use "/>
        <s v="Year 1 Intake students are assigned to take ... ‘CCC8015 Generative Artificial Intelligence’ in the first year&#10;Senior Year Intake students are assigned to take ... ‘CCC8015 Generative Artificial Intelligence’ in the third year."/>
        <s v="The PolyU generative AI application is solely for PolyU staff and students to use for teaching and learning, research, and work-related activities only."/>
        <s v="PolyU takes an open and forward-looking stance on the use of generative artificial intelligence (GenAI) tools (such as ChatGPT) as a positive and creative force in education, and the incorporation of such use in innovative learning, teaching, and assessme"/>
        <s v="PolyU is strongly committed to preserving academic integrity and has a zero-tolerance policy towards academic dishonesty. Do not commit such acts, e.g. cheating, contract cheating, plagiarism (copying others’ work as your own without full acknowledgement,"/>
        <s v="Leverage GenAI in the brainstorming and research process using the S.P.A.C.E. Framework&#10;&#10;To use GenAI purposefully and appropriately to facilitate personalised learning"/>
        <s v="Review the policies and guidelines from your faculty, department, or subject. If anything is unclear, consult your course instructor to confirm whether the use of GenAI is permitted in your specific context."/>
        <s v="Driven by a wish to harness the positives of GenAI tools, this section will act as a home for resources relating to how GenAI tools can be used in PolyU, and for links to guidelines to their usage by students and staff within the institution."/>
        <s v="One of the Objectives: enhance students’ ability to learn-to-learn through self-reflection, peer assessment and exploration of relevant generative artificial intelligence and technological advances in assignments"/>
        <s v="Students were encouraged to use different GenAI tools (e.g. ChatGPT, Scispace, Research Rabbit, Midjourney, Canva, Murf, etc.) in their group project. Clear guidelines and expectations on the use of GenAI tools, including acceptable usage and ethical conc"/>
        <s v="Under &quot;Cheating&quot;: Using unpermitted materials and aids [including Generative Artificial Intelligence (GenAI) if it is explicitly disallowed] during tests, examinations or other forms of assessment / assignment, be they in-person or online, or using materi"/>
        <s v="What you need to do: 4-Year Degree Students admitted in/after 2022/23 are required to complete a 2-credit for GUR-AIDA within the first year of studies."/>
        <s v="ChatGPT bases its output on previous word patterns without regard to factual accuracy. Generative AI tools should not be relied on due to AI “hallucination”, which is text that appears convincing, but ultimately factually incorrect upon further checking. "/>
      </sharedItems>
    </cacheField>
    <cacheField name="Coder Notes" numFmtId="0">
      <sharedItems containsBlank="1">
        <m/>
        <s v="This document has a multilevel analysis of different aspects of Gen AI, the key quote might not be enough to summarize all the ideas in the document."/>
        <s v="Due to &quot;One Country, Two Systems&quot;, China laws/regulations do not directly affect Hong Kong.&#10;This national directive serves as the foundational mandate to develop Hong Kong into an international Innovation and Technology hub."/>
        <s v="really postive with ai,from top tto down"/>
        <s v="detail in deep so can tell hksar really hyposis  to manifest ai in  different senaioro"/>
        <s v="Not about rule enforcement"/>
        <s v="It is a graduation requirement for undergrad students to pass this course.&#10;&#10;Course-wise, it is to promote AI Literacy.&#10;Policy-wise, the statement is to promote academic integrity."/>
        <s v="Establishes a graduation requirement but not a usage policy"/>
        <s v="HKU Space is the self-financing &quot;community colleges&quot; associated with HKU."/>
        <s v="Repository of ways to use AI for teaching"/>
        <s v="ChatGPT service building on Microsoft’s Azure Open AI services in July 2023"/>
        <s v="Compare this memo to the Lingnan course syllabi. The University may want to let instructors make their choices, but instructors' autonomy is not reflected in the course syllabi."/>
        <s v="Department puts a more restrictive GenAI usage requirement and enforcement."/>
        <s v="Holds for most other syllabi"/>
        <s v="This is the Introduction to Artificial Intelligence course. The pedagogy focus may be AI Literacy, but the GenAI statement is clearly directed to Academic Integrity."/>
        <s v="Graduation requirement"/>
        <s v="Example activity is taken from a Discipline Specific Requirement ELC subject.&#10;(Note: ELC is not a Faculty/School.)"/>
        <s v="Library guide"/>
        <s v="No AI policy in Subject Description Form"/>
        <s v="Not a policy comment, but explaining how the instructor redesigns learning to make good use of GenAI."/>
        <s v="HKCC shares the same Student Handbook (hence GenAI policies) with PolyU"/>
        <s v="This is part of their website about GenAI use. This particular page lists improper use cases and examples. It links to PolyU's policies under &quot;Other Resources&quot;."/>
      </sharedItems>
    </cacheField>
    <cacheField name="Coder" numFmtId="0">
      <sharedItems containsBlank="1">
        <s v="EY"/>
        <m/>
        <s v="YM"/>
      </sharedItems>
    </cacheField>
    <cacheField name="Date Coded" numFmtId="165">
      <sharedItems containsDate="1" containsString="0" containsBlank="1">
        <d v="2026-04-29T00:00:00Z"/>
        <d v="2026-04-25T00:00:00Z"/>
        <m/>
        <d v="2026-05-01T00:00:00Z"/>
        <d v="2026-04-26T00:00:00Z"/>
      </sharedItems>
    </cacheField>
    <cacheField name="Stance #" numFmtId="0">
      <sharedItems containsSemiMixedTypes="0" containsString="0" containsNumber="1" containsInteger="1">
        <n v="2.0"/>
        <n v="3.0"/>
        <n v="1.0"/>
        <n v="0.0"/>
      </sharedItems>
    </cacheField>
    <cacheField name="Tier #" numFmtId="0">
      <sharedItems containsSemiMixedTypes="0" containsString="0" containsNumber="1" containsInteger="1">
        <n v="1.0"/>
        <n v="2.0"/>
        <n v="3.0"/>
        <n v="4.0"/>
        <n v="5.0"/>
      </sharedItems>
    </cacheField>
    <cacheField name="Governance Domain" numFmtId="0">
      <sharedItems>
        <s v="External"/>
        <s v="Internal"/>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6" cacheId="0" dataCaption="" compact="0" compactData="0">
  <location ref="A1:G5"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Tier" compact="0" outline="0" multipleItemSelectionAllowed="1" showAll="0">
      <items>
        <item x="0"/>
        <item x="1"/>
        <item x="2"/>
        <item x="3"/>
        <item x="4"/>
        <item t="default"/>
      </items>
    </pivotField>
    <pivotField name="Region" axis="axisRow" compact="0" outline="0" multipleItemSelectionAllowed="1" showAll="0" sortType="ascending">
      <items>
        <item x="1"/>
        <item x="0"/>
        <item t="default"/>
      </items>
    </pivotField>
    <pivotField name="Jurisdiction / Instit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Institution" compact="0" outline="0" multipleItemSelectionAllowed="1" showAll="0">
      <items>
        <item x="0"/>
        <item x="1"/>
        <item x="2"/>
        <item x="3"/>
        <item x="4"/>
        <item x="5"/>
        <item x="6"/>
        <item x="7"/>
        <item x="8"/>
        <item t="default"/>
      </items>
    </pivotField>
    <pivotField name="Document 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Document Type" compact="0" outline="0" multipleItemSelectionAllowed="1" showAll="0">
      <items>
        <item x="0"/>
        <item x="1"/>
        <item x="2"/>
        <item x="3"/>
        <item x="4"/>
        <item x="5"/>
        <item x="6"/>
        <item t="default"/>
      </items>
    </pivotField>
    <pivotField name="Publica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Source 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Stance" compact="0" outline="0" multipleItemSelectionAllowed="1" showAll="0">
      <items>
        <item x="0"/>
        <item x="1"/>
        <item x="2"/>
        <item x="3"/>
        <item t="default"/>
      </items>
    </pivotField>
    <pivotField name="Disclosure" compact="0" outline="0" multipleItemSelectionAllowed="1" showAll="0">
      <items>
        <item x="0"/>
        <item x="1"/>
        <item x="2"/>
        <item x="3"/>
        <item t="default"/>
      </items>
    </pivotField>
    <pivotField name="Discretion" compact="0" outline="0" multipleItemSelectionAllowed="1" showAll="0">
      <items>
        <item x="0"/>
        <item x="1"/>
        <item x="2"/>
        <item x="3"/>
        <item x="4"/>
        <item x="5"/>
        <item t="default"/>
      </items>
    </pivotField>
    <pivotField name="Focus (Primary)" compact="0" outline="0" multipleItemSelectionAllowed="1" showAll="0">
      <items>
        <item x="0"/>
        <item x="1"/>
        <item x="2"/>
        <item x="3"/>
        <item x="4"/>
        <item x="5"/>
        <item t="default"/>
      </items>
    </pivotField>
    <pivotField name="Focus (Secondary)" compact="0" outline="0" multipleItemSelectionAllowed="1" showAll="0">
      <items>
        <item x="0"/>
        <item x="1"/>
        <item x="2"/>
        <item x="3"/>
        <item x="4"/>
        <item x="5"/>
        <item x="6"/>
        <item t="default"/>
      </items>
    </pivotField>
    <pivotField name="Enforcement" compact="0" outline="0" multipleItemSelectionAllowed="1" showAll="0">
      <items>
        <item x="0"/>
        <item x="1"/>
        <item x="2"/>
        <item x="3"/>
        <item t="default"/>
      </items>
    </pivotField>
    <pivotField name="Coverage" compact="0" outline="0" multipleItemSelectionAllowed="1" showAll="0">
      <items>
        <item x="0"/>
        <item x="1"/>
        <item x="2"/>
        <item x="3"/>
        <item x="4"/>
        <item t="default"/>
      </items>
    </pivotField>
    <pivotField name="Key Quote (verbati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oder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Coder" compact="0" outline="0" multipleItemSelectionAllowed="1" showAll="0">
      <items>
        <item x="0"/>
        <item x="1"/>
        <item x="2"/>
        <item x="3"/>
        <item t="default"/>
      </items>
    </pivotField>
    <pivotField name="Date Coded" compact="0" numFmtId="165" outline="0" multipleItemSelectionAllowed="1" showAll="0">
      <items>
        <item x="0"/>
        <item x="1"/>
        <item x="2"/>
        <item t="default"/>
      </items>
    </pivotField>
    <pivotField name="Stance #" dataField="1" compact="0" outline="0" multipleItemSelectionAllowed="1" showAll="0">
      <items>
        <item x="0"/>
        <item x="1"/>
        <item x="2"/>
        <item x="3"/>
        <item t="default"/>
      </items>
    </pivotField>
    <pivotField name="Tier #" axis="axisCol" compact="0" outline="0" multipleItemSelectionAllowed="1" showAll="0" sortType="ascending">
      <items>
        <item x="0"/>
        <item x="1"/>
        <item x="2"/>
        <item x="3"/>
        <item x="4"/>
        <item t="default"/>
      </items>
    </pivotField>
    <pivotField name="Governance Domain" compact="0" outline="0" multipleItemSelectionAllowed="1" showAll="0">
      <items>
        <item x="0"/>
        <item x="1"/>
        <item t="default"/>
      </items>
    </pivotField>
  </pivotFields>
  <rowFields>
    <field x="2"/>
  </rowFields>
  <colFields>
    <field x="21"/>
  </colFields>
  <dataFields>
    <dataField name="AVERAGE of Stance #" fld="20" subtotal="average" baseField="0"/>
  </dataFields>
</pivotTableDefinition>
</file>

<file path=xl/pivotTables/pivotTable2.xml><?xml version="1.0" encoding="utf-8"?>
<pivotTableDefinition xmlns="http://schemas.openxmlformats.org/spreadsheetml/2006/main" name="Pivot Table 6 2" cacheId="0" dataCaption="" compact="0" compactData="0">
  <location ref="J1:K9" firstHeaderRow="0" firstDataRow="1"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Tier" compact="0" outline="0" multipleItemSelectionAllowed="1" showAll="0">
      <items>
        <item x="0"/>
        <item x="1"/>
        <item x="2"/>
        <item x="3"/>
        <item x="4"/>
        <item t="default"/>
      </items>
    </pivotField>
    <pivotField name="Region" compact="0" outline="0" multipleItemSelectionAllowed="1" showAll="0">
      <items>
        <item x="0"/>
        <item x="1"/>
        <item t="default"/>
      </items>
    </pivotField>
    <pivotField name="Jurisdiction / Instit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Institution" compact="0" outline="0" multipleItemSelectionAllowed="1" showAll="0">
      <items>
        <item x="0"/>
        <item x="1"/>
        <item x="2"/>
        <item x="3"/>
        <item x="4"/>
        <item x="5"/>
        <item x="6"/>
        <item x="7"/>
        <item x="8"/>
        <item t="default"/>
      </items>
    </pivotField>
    <pivotField name="Document 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Document Type" axis="axisRow" compact="0" outline="0" multipleItemSelectionAllowed="1" showAll="0" sortType="ascending">
      <items>
        <item x="0"/>
        <item x="4"/>
        <item x="1"/>
        <item x="2"/>
        <item x="3"/>
        <item x="6"/>
        <item x="5"/>
        <item t="default"/>
      </items>
    </pivotField>
    <pivotField name="Publica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Source 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Stance" compact="0" outline="0" multipleItemSelectionAllowed="1" showAll="0">
      <items>
        <item x="0"/>
        <item x="1"/>
        <item x="2"/>
        <item x="3"/>
        <item t="default"/>
      </items>
    </pivotField>
    <pivotField name="Disclosure" compact="0" outline="0" multipleItemSelectionAllowed="1" showAll="0">
      <items>
        <item x="0"/>
        <item x="1"/>
        <item x="2"/>
        <item x="3"/>
        <item t="default"/>
      </items>
    </pivotField>
    <pivotField name="Discretion" compact="0" outline="0" multipleItemSelectionAllowed="1" showAll="0">
      <items>
        <item x="0"/>
        <item x="1"/>
        <item x="2"/>
        <item x="3"/>
        <item x="4"/>
        <item x="5"/>
        <item t="default"/>
      </items>
    </pivotField>
    <pivotField name="Focus (Primary)" compact="0" outline="0" multipleItemSelectionAllowed="1" showAll="0">
      <items>
        <item x="0"/>
        <item x="1"/>
        <item x="2"/>
        <item x="3"/>
        <item x="4"/>
        <item x="5"/>
        <item t="default"/>
      </items>
    </pivotField>
    <pivotField name="Focus (Secondary)" compact="0" outline="0" multipleItemSelectionAllowed="1" showAll="0">
      <items>
        <item x="0"/>
        <item x="1"/>
        <item x="2"/>
        <item x="3"/>
        <item x="4"/>
        <item x="5"/>
        <item x="6"/>
        <item t="default"/>
      </items>
    </pivotField>
    <pivotField name="Enforcement" compact="0" outline="0" multipleItemSelectionAllowed="1" showAll="0">
      <items>
        <item x="0"/>
        <item x="1"/>
        <item x="2"/>
        <item x="3"/>
        <item t="default"/>
      </items>
    </pivotField>
    <pivotField name="Coverage" compact="0" outline="0" multipleItemSelectionAllowed="1" showAll="0">
      <items>
        <item x="0"/>
        <item x="1"/>
        <item x="2"/>
        <item x="3"/>
        <item x="4"/>
        <item t="default"/>
      </items>
    </pivotField>
    <pivotField name="Key Quote (verbati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oder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Coder" compact="0" outline="0" multipleItemSelectionAllowed="1" showAll="0">
      <items>
        <item x="0"/>
        <item x="1"/>
        <item x="2"/>
        <item x="3"/>
        <item t="default"/>
      </items>
    </pivotField>
    <pivotField name="Date Coded" compact="0" numFmtId="165" outline="0" multipleItemSelectionAllowed="1" showAll="0">
      <items>
        <item x="0"/>
        <item x="1"/>
        <item x="2"/>
        <item t="default"/>
      </items>
    </pivotField>
    <pivotField name="Stance #" compact="0" outline="0" multipleItemSelectionAllowed="1" showAll="0">
      <items>
        <item x="0"/>
        <item x="1"/>
        <item x="2"/>
        <item x="3"/>
        <item t="default"/>
      </items>
    </pivotField>
    <pivotField name="Tier #" compact="0" outline="0" multipleItemSelectionAllowed="1" showAll="0">
      <items>
        <item x="0"/>
        <item x="1"/>
        <item x="2"/>
        <item x="3"/>
        <item x="4"/>
        <item t="default"/>
      </items>
    </pivotField>
    <pivotField name="Governance Domain" compact="0" outline="0" multipleItemSelectionAllowed="1" showAll="0">
      <items>
        <item x="0"/>
        <item x="1"/>
        <item t="default"/>
      </items>
    </pivotField>
  </pivotFields>
  <rowFields>
    <field x="6"/>
  </rowFields>
  <dataFields>
    <dataField name="COUNTA of ID" fld="0" subtotal="count" baseField="0"/>
  </dataFields>
</pivotTableDefinition>
</file>

<file path=xl/pivotTables/pivotTable3.xml><?xml version="1.0" encoding="utf-8"?>
<pivotTableDefinition xmlns="http://schemas.openxmlformats.org/spreadsheetml/2006/main" name="Pivot Table 6 3" cacheId="0" dataCaption="" compact="0" compactData="0">
  <location ref="A11:H25" firstHeaderRow="0" firstDataRow="2"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Tier" compact="0" outline="0" multipleItemSelectionAllowed="1" showAll="0">
      <items>
        <item x="0"/>
        <item x="1"/>
        <item x="2"/>
        <item x="3"/>
        <item x="4"/>
        <item t="default"/>
      </items>
    </pivotField>
    <pivotField name="Region" axis="axisRow" compact="0" outline="0" multipleItemSelectionAllowed="1" showAll="0" sortType="ascending">
      <items>
        <item x="1"/>
        <item x="0"/>
        <item t="default"/>
      </items>
    </pivotField>
    <pivotField name="Jurisdiction / Instit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Institution" axis="axisRow" compact="0" outline="0" multipleItemSelectionAllowed="1" showAll="0" sortType="ascending">
      <items>
        <item x="0"/>
        <item x="5"/>
        <item x="4"/>
        <item x="6"/>
        <item x="8"/>
        <item x="2"/>
        <item x="3"/>
        <item x="1"/>
        <item x="7"/>
        <item t="default"/>
      </items>
    </pivotField>
    <pivotField name="Document 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Document Type" compact="0" outline="0" multipleItemSelectionAllowed="1" showAll="0">
      <items>
        <item x="0"/>
        <item x="1"/>
        <item x="2"/>
        <item x="3"/>
        <item x="4"/>
        <item x="5"/>
        <item x="6"/>
        <item t="default"/>
      </items>
    </pivotField>
    <pivotField name="Publica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Source 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name="Stance" compact="0" outline="0" multipleItemSelectionAllowed="1" showAll="0">
      <items>
        <item x="0"/>
        <item x="1"/>
        <item x="2"/>
        <item x="3"/>
        <item t="default"/>
      </items>
    </pivotField>
    <pivotField name="Disclosure" compact="0" outline="0" multipleItemSelectionAllowed="1" showAll="0">
      <items>
        <item x="0"/>
        <item x="1"/>
        <item x="2"/>
        <item x="3"/>
        <item t="default"/>
      </items>
    </pivotField>
    <pivotField name="Discretion" compact="0" outline="0" multipleItemSelectionAllowed="1" showAll="0">
      <items>
        <item x="0"/>
        <item x="1"/>
        <item x="2"/>
        <item x="3"/>
        <item x="4"/>
        <item x="5"/>
        <item t="default"/>
      </items>
    </pivotField>
    <pivotField name="Focus (Primary)" compact="0" outline="0" multipleItemSelectionAllowed="1" showAll="0">
      <items>
        <item x="0"/>
        <item x="1"/>
        <item x="2"/>
        <item x="3"/>
        <item x="4"/>
        <item x="5"/>
        <item t="default"/>
      </items>
    </pivotField>
    <pivotField name="Focus (Secondary)" compact="0" outline="0" multipleItemSelectionAllowed="1" showAll="0">
      <items>
        <item x="0"/>
        <item x="1"/>
        <item x="2"/>
        <item x="3"/>
        <item x="4"/>
        <item x="5"/>
        <item x="6"/>
        <item t="default"/>
      </items>
    </pivotField>
    <pivotField name="Enforcement" compact="0" outline="0" multipleItemSelectionAllowed="1" showAll="0">
      <items>
        <item x="0"/>
        <item x="1"/>
        <item x="2"/>
        <item x="3"/>
        <item t="default"/>
      </items>
    </pivotField>
    <pivotField name="Coverage" compact="0" outline="0" multipleItemSelectionAllowed="1" showAll="0">
      <items>
        <item x="0"/>
        <item x="1"/>
        <item x="2"/>
        <item x="3"/>
        <item x="4"/>
        <item t="default"/>
      </items>
    </pivotField>
    <pivotField name="Key Quote (verbati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oder 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Coder" compact="0" outline="0" multipleItemSelectionAllowed="1" showAll="0">
      <items>
        <item x="0"/>
        <item x="1"/>
        <item x="2"/>
        <item x="3"/>
        <item t="default"/>
      </items>
    </pivotField>
    <pivotField name="Date Coded" compact="0" numFmtId="165" outline="0" multipleItemSelectionAllowed="1" showAll="0">
      <items>
        <item x="0"/>
        <item x="1"/>
        <item x="2"/>
        <item t="default"/>
      </items>
    </pivotField>
    <pivotField name="Stance #" dataField="1" compact="0" outline="0" multipleItemSelectionAllowed="1" showAll="0">
      <items>
        <item x="0"/>
        <item x="1"/>
        <item x="2"/>
        <item x="3"/>
        <item t="default"/>
      </items>
    </pivotField>
    <pivotField name="Tier #" axis="axisCol" compact="0" outline="0" multipleItemSelectionAllowed="1" showAll="0" sortType="ascending">
      <items>
        <item x="0"/>
        <item x="1"/>
        <item x="2"/>
        <item x="3"/>
        <item x="4"/>
        <item t="default"/>
      </items>
    </pivotField>
    <pivotField name="Governance Domain" compact="0" outline="0" multipleItemSelectionAllowed="1" showAll="0">
      <items>
        <item x="0"/>
        <item x="1"/>
        <item t="default"/>
      </items>
    </pivotField>
  </pivotFields>
  <rowFields>
    <field x="2"/>
    <field x="4"/>
  </rowFields>
  <colFields>
    <field x="21"/>
  </colFields>
  <dataFields>
    <dataField name="AVERAGE of Stance #" fld="20" subtotal="average" baseField="0"/>
  </dataFields>
</pivotTableDefinition>
</file>

<file path=xl/pivotTables/pivotTable4.xml><?xml version="1.0" encoding="utf-8"?>
<pivotTableDefinition xmlns="http://schemas.openxmlformats.org/spreadsheetml/2006/main" name="Pivot Tables" cacheId="1" dataCaption="" compact="0" compactData="0">
  <location ref="A1:H13" firstHeaderRow="0" firstDataRow="2"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Tier" compact="0" outline="0" multipleItemSelectionAllowed="1" showAll="0">
      <items>
        <item x="0"/>
        <item x="1"/>
        <item x="2"/>
        <item x="3"/>
        <item x="4"/>
        <item t="default"/>
      </items>
    </pivotField>
    <pivotField name="Region" axis="axisRow" compact="0" outline="0" multipleItemSelectionAllowed="1" showAll="0" sortType="ascending">
      <items>
        <item x="1"/>
        <item x="0"/>
        <item t="default"/>
      </items>
    </pivotField>
    <pivotField name="Jurisdiction / Instit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Institution" axis="axisRow" compact="0" outline="0" multipleItemSelectionAllowed="1" showAll="0" sortType="ascending">
      <items>
        <item x="0"/>
        <item x="1"/>
        <item x="3"/>
        <item x="4"/>
        <item x="5"/>
        <item x="2"/>
        <item x="6"/>
        <item t="default"/>
      </items>
    </pivotField>
    <pivotField name="Document 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Document Type" compact="0" outline="0" multipleItemSelectionAllowed="1" showAll="0">
      <items>
        <item x="0"/>
        <item x="1"/>
        <item x="2"/>
        <item x="3"/>
        <item x="4"/>
        <item x="5"/>
        <item x="6"/>
        <item x="7"/>
        <item t="default"/>
      </items>
    </pivotField>
    <pivotField name="Publica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Source 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Stance" compact="0" outline="0" multipleItemSelectionAllowed="1" showAll="0">
      <items>
        <item x="0"/>
        <item x="1"/>
        <item x="2"/>
        <item x="3"/>
        <item t="default"/>
      </items>
    </pivotField>
    <pivotField name="Disclosure" compact="0" outline="0" multipleItemSelectionAllowed="1" showAll="0">
      <items>
        <item x="0"/>
        <item x="1"/>
        <item x="2"/>
        <item x="3"/>
        <item t="default"/>
      </items>
    </pivotField>
    <pivotField name="Discretion" compact="0" outline="0" multipleItemSelectionAllowed="1" showAll="0">
      <items>
        <item x="0"/>
        <item x="1"/>
        <item x="2"/>
        <item x="3"/>
        <item x="4"/>
        <item t="default"/>
      </items>
    </pivotField>
    <pivotField name="Focus (Primary)" compact="0" outline="0" multipleItemSelectionAllowed="1" showAll="0">
      <items>
        <item x="0"/>
        <item x="1"/>
        <item x="2"/>
        <item x="3"/>
        <item x="4"/>
        <item x="5"/>
        <item t="default"/>
      </items>
    </pivotField>
    <pivotField name="Focus (Secondary)" compact="0" outline="0" multipleItemSelectionAllowed="1" showAll="0">
      <items>
        <item x="0"/>
        <item x="1"/>
        <item x="2"/>
        <item x="3"/>
        <item x="4"/>
        <item x="5"/>
        <item x="6"/>
        <item t="default"/>
      </items>
    </pivotField>
    <pivotField name="Enforcement" compact="0" outline="0" multipleItemSelectionAllowed="1" showAll="0">
      <items>
        <item x="0"/>
        <item x="1"/>
        <item x="2"/>
        <item x="3"/>
        <item t="default"/>
      </items>
    </pivotField>
    <pivotField name="Coverage" compact="0" outline="0" multipleItemSelectionAllowed="1" showAll="0">
      <items>
        <item x="0"/>
        <item x="1"/>
        <item x="2"/>
        <item x="3"/>
        <item x="4"/>
        <item t="default"/>
      </items>
    </pivotField>
    <pivotField name="Key Quote (verbati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Coder Note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der" compact="0" outline="0" multipleItemSelectionAllowed="1" showAll="0">
      <items>
        <item x="0"/>
        <item x="1"/>
        <item x="2"/>
        <item t="default"/>
      </items>
    </pivotField>
    <pivotField name="Date Coded" compact="0" numFmtId="165" outline="0" multipleItemSelectionAllowed="1" showAll="0">
      <items>
        <item x="0"/>
        <item x="1"/>
        <item x="2"/>
        <item x="3"/>
        <item x="4"/>
        <item t="default"/>
      </items>
    </pivotField>
    <pivotField name="Stance #" dataField="1" compact="0" outline="0" multipleItemSelectionAllowed="1" showAll="0">
      <items>
        <item x="0"/>
        <item x="1"/>
        <item x="2"/>
        <item x="3"/>
        <item t="default"/>
      </items>
    </pivotField>
    <pivotField name="Tier #" axis="axisCol" compact="0" outline="0" multipleItemSelectionAllowed="1" showAll="0" sortType="ascending">
      <items>
        <item x="0"/>
        <item x="1"/>
        <item x="2"/>
        <item x="3"/>
        <item x="4"/>
        <item t="default"/>
      </items>
    </pivotField>
    <pivotField name="Governance Domain" compact="0" outline="0" multipleItemSelectionAllowed="1" showAll="0">
      <items>
        <item x="0"/>
        <item x="1"/>
        <item t="default"/>
      </items>
    </pivotField>
  </pivotFields>
  <rowFields>
    <field x="2"/>
    <field x="4"/>
  </rowFields>
  <colFields>
    <field x="21"/>
  </colFields>
  <dataFields>
    <dataField name="AVERAGE of Stance #" fld="20" subtotal="average" baseField="0"/>
  </dataFields>
</pivotTableDefinition>
</file>

<file path=xl/pivotTables/pivotTable5.xml><?xml version="1.0" encoding="utf-8"?>
<pivotTableDefinition xmlns="http://schemas.openxmlformats.org/spreadsheetml/2006/main" name="Pivot Tables 2" cacheId="1" dataCaption="" compact="0" compactData="0">
  <location ref="A16:G30" firstHeaderRow="0" firstDataRow="2"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Tier" compact="0" outline="0" multipleItemSelectionAllowed="1" showAll="0">
      <items>
        <item x="0"/>
        <item x="1"/>
        <item x="2"/>
        <item x="3"/>
        <item x="4"/>
        <item t="default"/>
      </items>
    </pivotField>
    <pivotField name="Region" axis="axisRow" compact="0" outline="0" multipleItemSelectionAllowed="1" showAll="0" sortType="ascending">
      <items>
        <item x="1"/>
        <item x="0"/>
        <item t="default"/>
      </items>
    </pivotField>
    <pivotField name="Jurisdiction / Instit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Institution" compact="0" outline="0" multipleItemSelectionAllowed="1" showAll="0">
      <items>
        <item x="0"/>
        <item x="1"/>
        <item x="2"/>
        <item x="3"/>
        <item x="4"/>
        <item x="5"/>
        <item x="6"/>
        <item t="default"/>
      </items>
    </pivotField>
    <pivotField name="Document 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Document Type" compact="0" outline="0" multipleItemSelectionAllowed="1" showAll="0">
      <items>
        <item x="0"/>
        <item x="1"/>
        <item x="2"/>
        <item x="3"/>
        <item x="4"/>
        <item x="5"/>
        <item x="6"/>
        <item x="7"/>
        <item t="default"/>
      </items>
    </pivotField>
    <pivotField name="Publica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Source 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Stance" compact="0" outline="0" multipleItemSelectionAllowed="1" showAll="0">
      <items>
        <item x="0"/>
        <item x="1"/>
        <item x="2"/>
        <item x="3"/>
        <item t="default"/>
      </items>
    </pivotField>
    <pivotField name="Disclosure" compact="0" outline="0" multipleItemSelectionAllowed="1" showAll="0">
      <items>
        <item x="0"/>
        <item x="1"/>
        <item x="2"/>
        <item x="3"/>
        <item t="default"/>
      </items>
    </pivotField>
    <pivotField name="Discretion" compact="0" outline="0" multipleItemSelectionAllowed="1" showAll="0">
      <items>
        <item x="0"/>
        <item x="1"/>
        <item x="2"/>
        <item x="3"/>
        <item x="4"/>
        <item t="default"/>
      </items>
    </pivotField>
    <pivotField name="Focus (Primary)" compact="0" outline="0" multipleItemSelectionAllowed="1" showAll="0">
      <items>
        <item x="0"/>
        <item x="1"/>
        <item x="2"/>
        <item x="3"/>
        <item x="4"/>
        <item x="5"/>
        <item t="default"/>
      </items>
    </pivotField>
    <pivotField name="Focus (Secondary)" compact="0" outline="0" multipleItemSelectionAllowed="1" showAll="0">
      <items>
        <item x="0"/>
        <item x="1"/>
        <item x="2"/>
        <item x="3"/>
        <item x="4"/>
        <item x="5"/>
        <item x="6"/>
        <item t="default"/>
      </items>
    </pivotField>
    <pivotField name="Enforcement" compact="0" outline="0" multipleItemSelectionAllowed="1" showAll="0">
      <items>
        <item x="0"/>
        <item x="1"/>
        <item x="2"/>
        <item x="3"/>
        <item t="default"/>
      </items>
    </pivotField>
    <pivotField name="Coverage" compact="0" outline="0" multipleItemSelectionAllowed="1" showAll="0">
      <items>
        <item x="0"/>
        <item x="1"/>
        <item x="2"/>
        <item x="3"/>
        <item x="4"/>
        <item t="default"/>
      </items>
    </pivotField>
    <pivotField name="Key Quote (verbati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Coder Note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der" compact="0" outline="0" multipleItemSelectionAllowed="1" showAll="0">
      <items>
        <item x="0"/>
        <item x="1"/>
        <item x="2"/>
        <item t="default"/>
      </items>
    </pivotField>
    <pivotField name="Date Coded" compact="0" numFmtId="165" outline="0" multipleItemSelectionAllowed="1" showAll="0">
      <items>
        <item x="0"/>
        <item x="1"/>
        <item x="2"/>
        <item x="3"/>
        <item x="4"/>
        <item t="default"/>
      </items>
    </pivotField>
    <pivotField name="Stance #" axis="axisCol" compact="0" outline="0" multipleItemSelectionAllowed="1" showAll="0" sortType="ascending">
      <items>
        <item x="3"/>
        <item x="2"/>
        <item x="0"/>
        <item x="1"/>
        <item t="default"/>
      </items>
    </pivotField>
    <pivotField name="Tier #" axis="axisRow" compact="0" outline="0" multipleItemSelectionAllowed="1" showAll="0" sortType="ascending">
      <items>
        <item x="0"/>
        <item x="1"/>
        <item x="2"/>
        <item x="3"/>
        <item x="4"/>
        <item t="default"/>
      </items>
    </pivotField>
    <pivotField name="Governance Domain" compact="0" outline="0" multipleItemSelectionAllowed="1" showAll="0">
      <items>
        <item x="0"/>
        <item x="1"/>
        <item t="default"/>
      </items>
    </pivotField>
  </pivotFields>
  <rowFields>
    <field x="2"/>
    <field x="21"/>
  </rowFields>
  <colFields>
    <field x="20"/>
  </colFields>
  <dataFields>
    <dataField name="COUNTA of 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TgfycwxRcyBXLKvlxRa1Pk8Qmfti5pHC/view?usp=sharing" TargetMode="External"/><Relationship Id="rId20" Type="http://schemas.openxmlformats.org/officeDocument/2006/relationships/hyperlink" Target="https://www.kbcc.cuny.edu/studentaffairs/student_conduct/academic_integrity.html" TargetMode="External"/><Relationship Id="rId42" Type="http://schemas.openxmlformats.org/officeDocument/2006/relationships/drawing" Target="../drawings/drawing1.xml"/><Relationship Id="rId41" Type="http://schemas.openxmlformats.org/officeDocument/2006/relationships/hyperlink" Target="https://drive.google.com/file/d/1esHl6KH7WElMt3sCCwC0zBQ93M8H3gW8/view?usp=sharing" TargetMode="External"/><Relationship Id="rId22" Type="http://schemas.openxmlformats.org/officeDocument/2006/relationships/hyperlink" Target="https://www.hunter.cuny.edu/center-for-digital-learning-and-innovative-pedagogy/online-learning-resources/academic-integrity-policy/" TargetMode="External"/><Relationship Id="rId21" Type="http://schemas.openxmlformats.org/officeDocument/2006/relationships/hyperlink" Target="https://www.ccny.cuny.edu/tlc/making-your-course-available?srsltid=AfmBOoojIHHL2OxDCdrK-0Xc9elMyrAnNWVcOtEzwybtMdTvH4Pbcfy-" TargetMode="External"/><Relationship Id="rId43" Type="http://schemas.openxmlformats.org/officeDocument/2006/relationships/vmlDrawing" Target="../drawings/vmlDrawing1.vml"/><Relationship Id="rId24" Type="http://schemas.openxmlformats.org/officeDocument/2006/relationships/hyperlink" Target="https://www.tc.columbia.edu/digitalfuturesinstitute/ai-in-education/recommendations-for-generative-ai-use-at-tc/" TargetMode="External"/><Relationship Id="rId23" Type="http://schemas.openxmlformats.org/officeDocument/2006/relationships/hyperlink" Target="https://www.qc.cuny.edu/cetll/wp-content/uploads/sites/138/2026/03/Generative-AI-in-the-Classroom-Best-Practices-a-CETLL-Guide_ACCESSIBLE_3.19.pdf" TargetMode="External"/><Relationship Id="rId1" Type="http://schemas.openxmlformats.org/officeDocument/2006/relationships/comments" Target="../comments1.xml"/><Relationship Id="rId2" Type="http://schemas.openxmlformats.org/officeDocument/2006/relationships/hyperlink" Target="https://www.whitehouse.gov/wp-content/uploads/2025/02/M-25-21-Accelerating-Federal-Use-of-AI-through-Innovation-Governance-and-Public-Trust.pdf" TargetMode="External"/><Relationship Id="rId3" Type="http://schemas.openxmlformats.org/officeDocument/2006/relationships/hyperlink" Target="https://www.ed.gov/media/document/opepd-ai-dear-colleague-letter-7222025-110427.pdf" TargetMode="External"/><Relationship Id="rId4" Type="http://schemas.openxmlformats.org/officeDocument/2006/relationships/hyperlink" Target="https://www.whitehouse.gov/presidential-actions/2025/01/removing-barriers-to-american-leadership-in-artificial-intelligence/" TargetMode="External"/><Relationship Id="rId9" Type="http://schemas.openxmlformats.org/officeDocument/2006/relationships/hyperlink" Target="https://www.nyc.gov/assets/oti/downloads/pdf/New-York-City-Generative-AI-Use-Guidance.pdf" TargetMode="External"/><Relationship Id="rId26" Type="http://schemas.openxmlformats.org/officeDocument/2006/relationships/hyperlink" Target="https://drive.google.com/file/d/13oVL6N7r7vYB1KfdVERnnLsAXYAWaAiJ/view?usp=sharing" TargetMode="External"/><Relationship Id="rId25" Type="http://schemas.openxmlformats.org/officeDocument/2006/relationships/hyperlink" Target="https://drive.google.com/file/d/1vpIMImBkHjO0WdQkfwMHJMqalNfzMFfF/view?usp=sharing" TargetMode="External"/><Relationship Id="rId28" Type="http://schemas.openxmlformats.org/officeDocument/2006/relationships/hyperlink" Target="https://drive.google.com/file/d/1j3LCk46bRAsnaDwmTgqMfNXWPCMCiXkt/view?usp=sharing" TargetMode="External"/><Relationship Id="rId27" Type="http://schemas.openxmlformats.org/officeDocument/2006/relationships/hyperlink" Target="https://drive.google.com/file/d/1x6Rabj9fJIWJuqoQlKB-99D3JlQtcR-j/view?usp=sharing" TargetMode="External"/><Relationship Id="rId5" Type="http://schemas.openxmlformats.org/officeDocument/2006/relationships/hyperlink" Target="https://www.ed.gov/sites/ed/files/documents/ai-report/ai-report.pdf" TargetMode="External"/><Relationship Id="rId6" Type="http://schemas.openxmlformats.org/officeDocument/2006/relationships/hyperlink" Target="https://doi.org/10.6028/NIST.AI.600-1" TargetMode="External"/><Relationship Id="rId29" Type="http://schemas.openxmlformats.org/officeDocument/2006/relationships/hyperlink" Target="https://drive.google.com/file/d/1l68uHLZyJdyVSyuizCnMc1JB86LshQiv/view?usp=sharing" TargetMode="External"/><Relationship Id="rId7" Type="http://schemas.openxmlformats.org/officeDocument/2006/relationships/hyperlink" Target="https://www.osc.ny.gov/state-agencies/audits/2025/04/03/new-york-state-artificial-intelligence-governance?utm_source=chatgpt.com" TargetMode="External"/><Relationship Id="rId8" Type="http://schemas.openxmlformats.org/officeDocument/2006/relationships/hyperlink" Target="https://www.nyc.gov/assets/oti/downloads/pdf/NYC-OTI_Guidance_AI-Public-Participation-and-Engagement.pdf" TargetMode="External"/><Relationship Id="rId31" Type="http://schemas.openxmlformats.org/officeDocument/2006/relationships/hyperlink" Target="https://drive.google.com/file/d/1rCXATLdYAIkYGa7BfhNw8gK1J9KtoEeq/view?usp=sharing" TargetMode="External"/><Relationship Id="rId30" Type="http://schemas.openxmlformats.org/officeDocument/2006/relationships/hyperlink" Target="https://drive.google.com/file/d/1G-p2U2a_xoDn2UYY1Kf3AJdZFHKhWhbB/view?usp=sharing" TargetMode="External"/><Relationship Id="rId11" Type="http://schemas.openxmlformats.org/officeDocument/2006/relationships/hyperlink" Target="https://provost.columbia.edu/content/office-senior-vice-provost/ai-policy" TargetMode="External"/><Relationship Id="rId33" Type="http://schemas.openxmlformats.org/officeDocument/2006/relationships/hyperlink" Target="https://drive.google.com/file/d/1G9YbiEIGx_-W9hOKhYqNXA22gHe7CbDQ/view?usp=sharing" TargetMode="External"/><Relationship Id="rId10" Type="http://schemas.openxmlformats.org/officeDocument/2006/relationships/hyperlink" Target="https://its.ny.gov/system/files/documents/2026/01/nys-p24-001-acceptable-use-of-ai.pdf" TargetMode="External"/><Relationship Id="rId32" Type="http://schemas.openxmlformats.org/officeDocument/2006/relationships/hyperlink" Target="https://drive.google.com/file/d/1MNCsBz2uAPqu6CfCym6UAzLgOE_mt47x/view?usp=sharing" TargetMode="External"/><Relationship Id="rId13" Type="http://schemas.openxmlformats.org/officeDocument/2006/relationships/hyperlink" Target="https://www.nyu.edu/faculty/teaching-and-learning-resources/teaching-with-generative-tools/frequently-asked-questions.html" TargetMode="External"/><Relationship Id="rId35" Type="http://schemas.openxmlformats.org/officeDocument/2006/relationships/hyperlink" Target="https://drive.google.com/file/d/1cfz6TQcy3Ua43b0jjV85q_c2fT_zrwo6/view?usp=sharing" TargetMode="External"/><Relationship Id="rId12" Type="http://schemas.openxmlformats.org/officeDocument/2006/relationships/hyperlink" Target="https://etc.cuit.columbia.edu/news/best-practices-responsible-ai-use" TargetMode="External"/><Relationship Id="rId34" Type="http://schemas.openxmlformats.org/officeDocument/2006/relationships/hyperlink" Target="https://drive.google.com/file/d/1cfz6TQcy3Ua43b0jjV85q_c2fT_zrwo6/view?usp=sharing" TargetMode="External"/><Relationship Id="rId15" Type="http://schemas.openxmlformats.org/officeDocument/2006/relationships/hyperlink" Target="https://sites.google.com/stern.nyu.edu/teaching-learning-gen-ai/home" TargetMode="External"/><Relationship Id="rId37" Type="http://schemas.openxmlformats.org/officeDocument/2006/relationships/hyperlink" Target="https://drive.google.com/file/d/1puXJUa7CNm-omwvFfPxacqJwc_m5GFHM/view?usp=sharing" TargetMode="External"/><Relationship Id="rId14" Type="http://schemas.openxmlformats.org/officeDocument/2006/relationships/hyperlink" Target="https://steinhardt.nyu.edu/faculty-and-staff/academic-affairs/steinhardt-ai-hub/academic-integrity-and-syllabus-support-age" TargetMode="External"/><Relationship Id="rId36" Type="http://schemas.openxmlformats.org/officeDocument/2006/relationships/hyperlink" Target="https://drive.google.com/file/d/1H2_k9EldtHx3DfqNfL7GlEcHRS46K4Oa/view?usp=sharing" TargetMode="External"/><Relationship Id="rId17" Type="http://schemas.openxmlformats.org/officeDocument/2006/relationships/hyperlink" Target="https://docs.google.com/document/d/1CbWKCBCMuO1kJlsK-ukD5lXGVuKuSzq8H8MFAQVvdDM/edit?usp=sharing" TargetMode="External"/><Relationship Id="rId39" Type="http://schemas.openxmlformats.org/officeDocument/2006/relationships/hyperlink" Target="https://drive.google.com/file/d/1Cs1MNdWi1nsUGhMgU5eu2fjJxFt59fyH/view?usp=sharing" TargetMode="External"/><Relationship Id="rId16" Type="http://schemas.openxmlformats.org/officeDocument/2006/relationships/hyperlink" Target="https://tisch.nyu.edu/faculty/academic-integ" TargetMode="External"/><Relationship Id="rId38" Type="http://schemas.openxmlformats.org/officeDocument/2006/relationships/hyperlink" Target="https://drive.google.com/file/d/1C5ZT1HLe7_EAttKjUuOHjaJ0TWJzAmIn/view?usp=sharing" TargetMode="External"/><Relationship Id="rId19" Type="http://schemas.openxmlformats.org/officeDocument/2006/relationships/hyperlink" Target="https://provost.baruch.cuny.edu/artificial-intelligence-think-tank/ai-use-guidance/" TargetMode="External"/><Relationship Id="rId18" Type="http://schemas.openxmlformats.org/officeDocument/2006/relationships/hyperlink" Target="https://www.cuny.edu/academics/ai-academic-hub/"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it.cuimc.columbia.edu/ai-and-generative-technology-use-cuimc" TargetMode="External"/><Relationship Id="rId42" Type="http://schemas.openxmlformats.org/officeDocument/2006/relationships/hyperlink" Target="https://web-apps-shib.stern.nyu.edu/syllabi/static/syllabusfiles/COR1-GB.1102_02_F2025.pdf" TargetMode="External"/><Relationship Id="rId41" Type="http://schemas.openxmlformats.org/officeDocument/2006/relationships/hyperlink" Target="https://web-apps-shib.stern.nyu.edu/syllabi/static/syllabusfiles/MGMT-GB.2340_10_F2025.pdf" TargetMode="External"/><Relationship Id="rId44" Type="http://schemas.openxmlformats.org/officeDocument/2006/relationships/hyperlink" Target="https://as.nyu.edu/content/dam/nyu-as/environment/documents/Syllabi/spring-2025/Environmental%20Justice%20syllabus%202025%20-%20Colin%20Jerolmack.pdf" TargetMode="External"/><Relationship Id="rId43" Type="http://schemas.openxmlformats.org/officeDocument/2006/relationships/hyperlink" Target="https://cas.nyu.edu/content/dam/nyu-as/casCore/documents/syllabifall2025/BARBIERO%20SYLLABUS%202025%20-%20Copy%20%281%29.pdf" TargetMode="External"/><Relationship Id="rId46" Type="http://schemas.openxmlformats.org/officeDocument/2006/relationships/hyperlink" Target="https://academicworks.cuny.edu/cgi/viewcontent.cgi?article=1112&amp;context=le_oers" TargetMode="External"/><Relationship Id="rId45" Type="http://schemas.openxmlformats.org/officeDocument/2006/relationships/hyperlink" Target="https://as.nyu.edu/content/dam/nyu-as/cwp/documents/introsyllabi/fall2025syllabi/NYU%20Syllabus,%20Fall%202025%20-%20GDC-9.pdf" TargetMode="External"/><Relationship Id="rId1" Type="http://schemas.openxmlformats.org/officeDocument/2006/relationships/hyperlink" Target="https://www.whitehouse.gov/wp-content/uploads/2026/03/03.20.26-National-Policy-Framework-for-Artificial-Intelligence-Legislative-Recommendations.pdf" TargetMode="External"/><Relationship Id="rId2" Type="http://schemas.openxmlformats.org/officeDocument/2006/relationships/hyperlink" Target="https://www.whitehouse.gov/presidential-actions/2025/12/eliminating-state-law-obstruction-of-national-artificial-intelligence-policy/" TargetMode="External"/><Relationship Id="rId3" Type="http://schemas.openxmlformats.org/officeDocument/2006/relationships/hyperlink" Target="https://www.acus.gov/sites/default/files/documents/ACUS_Policy_on_Use_of_GenAI-20251210.pdf" TargetMode="External"/><Relationship Id="rId4" Type="http://schemas.openxmlformats.org/officeDocument/2006/relationships/hyperlink" Target="https://www.whitehouse.gov/presidential-actions/2025/04/advancing-artificial-intelligence-education-for-american-youth/" TargetMode="External"/><Relationship Id="rId9" Type="http://schemas.openxmlformats.org/officeDocument/2006/relationships/hyperlink" Target="https://www.nyc.gov/assets/oti/downloads/pdf/AI-Action-Plan-Progress-Report-Year-2.pdf" TargetMode="External"/><Relationship Id="rId48" Type="http://schemas.openxmlformats.org/officeDocument/2006/relationships/hyperlink" Target="https://academicworks.cuny.edu/cgi/viewcontent.cgi?article=1094&amp;context=jj_oers" TargetMode="External"/><Relationship Id="rId47" Type="http://schemas.openxmlformats.org/officeDocument/2006/relationships/hyperlink" Target="https://academicworks.cuny.edu/cgi/viewcontent.cgi?article=1583&amp;context=cc_oers" TargetMode="External"/><Relationship Id="rId49" Type="http://schemas.openxmlformats.org/officeDocument/2006/relationships/hyperlink" Target="https://academicworks.cuny.edu/cgi/viewcontent.cgi?article=1117&amp;context=qc_oers" TargetMode="External"/><Relationship Id="rId5" Type="http://schemas.openxmlformats.org/officeDocument/2006/relationships/hyperlink" Target="https://www.whitehouse.gov/presidential-actions/2025/12/eliminating-state-law-obstruction-of-national-artificial-intelligence-policy/" TargetMode="External"/><Relationship Id="rId6" Type="http://schemas.openxmlformats.org/officeDocument/2006/relationships/hyperlink" Target="https://www.nyc.gov/assets/oti/downloads/pdf/New-York-City-Generative-AI-Use-Guidance.pdf" TargetMode="External"/><Relationship Id="rId7" Type="http://schemas.openxmlformats.org/officeDocument/2006/relationships/hyperlink" Target="https://www.nyc.gov/assets/oti/downloads/pdf/about/preliminary-use-guidance-general-artificial-intelligence.pdf" TargetMode="External"/><Relationship Id="rId8" Type="http://schemas.openxmlformats.org/officeDocument/2006/relationships/hyperlink" Target="https://www.nyc.gov/assets/oti/downloads/pdf/reports/artificial-intelligence-action-plan.pdf" TargetMode="External"/><Relationship Id="rId31" Type="http://schemas.openxmlformats.org/officeDocument/2006/relationships/hyperlink" Target="https://provost.baruch.cuny.edu/artificial-intelligence-think-tank/ai-use-guidance/" TargetMode="External"/><Relationship Id="rId30" Type="http://schemas.openxmlformats.org/officeDocument/2006/relationships/hyperlink" Target="https://as.nyu.edu/academics/teaching-excellence-and-innovation/services/course-support/genai-resources.html" TargetMode="External"/><Relationship Id="rId33" Type="http://schemas.openxmlformats.org/officeDocument/2006/relationships/hyperlink" Target="https://lagccwriting.commons.gc.cuny.edu/gen-ai-guidance/" TargetMode="External"/><Relationship Id="rId32" Type="http://schemas.openxmlformats.org/officeDocument/2006/relationships/hyperlink" Target="https://www.jjay.cuny.edu/about/senior-leadership/academic-affairs/office-provost/ai-policies-guidelines" TargetMode="External"/><Relationship Id="rId35" Type="http://schemas.openxmlformats.org/officeDocument/2006/relationships/hyperlink" Target="https://www.qc.cuny.edu/cetll/ai-resources/" TargetMode="External"/><Relationship Id="rId34" Type="http://schemas.openxmlformats.org/officeDocument/2006/relationships/hyperlink" Target="https://www.citytech.cuny.edu/ai/ai-guidance.aspx" TargetMode="External"/><Relationship Id="rId37" Type="http://schemas.openxmlformats.org/officeDocument/2006/relationships/hyperlink" Target="https://www.law.columbia.edu/academics/registration-services/resources/columbia-law-school-interim-policy-generative-ai" TargetMode="External"/><Relationship Id="rId36" Type="http://schemas.openxmlformats.org/officeDocument/2006/relationships/hyperlink" Target="https://www.tc.columbia.edu/digitalfuturesinstitute/ai-in-education/artificial-intelligence-in-education/tc-guidance/" TargetMode="External"/><Relationship Id="rId39" Type="http://schemas.openxmlformats.org/officeDocument/2006/relationships/hyperlink" Target="https://ai.ctl.columbia.edu/explore/ai-syllabus-statement/" TargetMode="External"/><Relationship Id="rId38" Type="http://schemas.openxmlformats.org/officeDocument/2006/relationships/hyperlink" Target="https://business.columbia.edu/samberg/ai/ai-basics" TargetMode="External"/><Relationship Id="rId20" Type="http://schemas.openxmlformats.org/officeDocument/2006/relationships/hyperlink" Target="https://www.cuny.edu/academics/faculty-affairs/faculty-hub/cuny-innovative-teaching-academy/building-bridges-of-knowledge-bbk/" TargetMode="External"/><Relationship Id="rId22" Type="http://schemas.openxmlformats.org/officeDocument/2006/relationships/hyperlink" Target="https://etc.cuit.columbia.edu/news/best-practices-responsible-ai-use" TargetMode="External"/><Relationship Id="rId21" Type="http://schemas.openxmlformats.org/officeDocument/2006/relationships/hyperlink" Target="https://provost.columbia.edu/content/generative-ai" TargetMode="External"/><Relationship Id="rId24" Type="http://schemas.openxmlformats.org/officeDocument/2006/relationships/hyperlink" Target="https://www.cuit.columbia.edu/sites/www.cuit.columbia.edu/files/content/CUIT%20Website%20Pages/AI%20Framework%20%20(1).pdf" TargetMode="External"/><Relationship Id="rId23" Type="http://schemas.openxmlformats.org/officeDocument/2006/relationships/hyperlink" Target="https://ctl.columbia.edu/resources-and-technology/resources/academic-integrity/" TargetMode="External"/><Relationship Id="rId26" Type="http://schemas.openxmlformats.org/officeDocument/2006/relationships/hyperlink" Target="https://steinhardt.nyu.edu/faculty-and-staff/academic-affairs/steinhardt-ai-hub/academic-integrity-and-syllabus-support-age" TargetMode="External"/><Relationship Id="rId25" Type="http://schemas.openxmlformats.org/officeDocument/2006/relationships/hyperlink" Target="https://www.cuit.columbia.edu/content/ai-services" TargetMode="External"/><Relationship Id="rId28" Type="http://schemas.openxmlformats.org/officeDocument/2006/relationships/hyperlink" Target="https://tisch.nyu.edu/faculty/academic-integ" TargetMode="External"/><Relationship Id="rId27" Type="http://schemas.openxmlformats.org/officeDocument/2006/relationships/hyperlink" Target="https://cas.nyu.edu/ewp/about/statement-on-generative-ai.html" TargetMode="External"/><Relationship Id="rId29" Type="http://schemas.openxmlformats.org/officeDocument/2006/relationships/hyperlink" Target="https://wp.nyu.edu/fas-edtech/2024/01/generative-ai-updates-live-syllabus-and-faculty-development-resources/" TargetMode="External"/><Relationship Id="rId51" Type="http://schemas.openxmlformats.org/officeDocument/2006/relationships/hyperlink" Target="https://psychology.columbia.edu/sites/psychology.columbia.edu/files/content/PSYC%203620%20Syllabus%20Fall2024.pdf" TargetMode="External"/><Relationship Id="rId50" Type="http://schemas.openxmlformats.org/officeDocument/2006/relationships/hyperlink" Target="https://academicworks.cuny.edu/cgi/viewcontent.cgi?article=1129&amp;context=bb_oers" TargetMode="External"/><Relationship Id="rId53" Type="http://schemas.openxmlformats.org/officeDocument/2006/relationships/hyperlink" Target="https://psychology.columbia.edu/sites/psychology.columbia.edu/files/content/Syllabus%20Psychobiology%20of%20Stress%20FA24.pdf" TargetMode="External"/><Relationship Id="rId52" Type="http://schemas.openxmlformats.org/officeDocument/2006/relationships/hyperlink" Target="https://www.cs.columbia.edu/~josh/cs-theory/" TargetMode="External"/><Relationship Id="rId11" Type="http://schemas.openxmlformats.org/officeDocument/2006/relationships/hyperlink" Target="https://www.nyu.edu/life/information-technology/artificial-intelligence-at-nyu/primer.html" TargetMode="External"/><Relationship Id="rId55" Type="http://schemas.openxmlformats.org/officeDocument/2006/relationships/hyperlink" Target="https://www.cs.columbia.edu/~johnhew/coms4705/index.html" TargetMode="External"/><Relationship Id="rId10" Type="http://schemas.openxmlformats.org/officeDocument/2006/relationships/hyperlink" Target="https://www.schools.nyc.gov/about-us/vision-and-mission/artificial-intelligence/guidance-on-artificial-intelligence-full" TargetMode="External"/><Relationship Id="rId54" Type="http://schemas.openxmlformats.org/officeDocument/2006/relationships/hyperlink" Target="https://psychology.columbia.edu/sites/psychology.columbia.edu/files/content/UN2235%20Syllabus%20for%20Spring%202024%20KFG.pdf" TargetMode="External"/><Relationship Id="rId13" Type="http://schemas.openxmlformats.org/officeDocument/2006/relationships/hyperlink" Target="https://www.nyu.edu/faculty/teaching-and-learning-resources/teaching-with-generative-tools/adapting-assignments-to-generative-AI.html" TargetMode="External"/><Relationship Id="rId12" Type="http://schemas.openxmlformats.org/officeDocument/2006/relationships/hyperlink" Target="https://www.nyu.edu/faculty/teaching-and-learning-resources/Student-Learning-with-Generative-AI.html" TargetMode="External"/><Relationship Id="rId56" Type="http://schemas.openxmlformats.org/officeDocument/2006/relationships/drawing" Target="../drawings/drawing2.xml"/><Relationship Id="rId15" Type="http://schemas.openxmlformats.org/officeDocument/2006/relationships/hyperlink" Target="https://www.nyu.edu/life/information-technology/artificial-intelligence-at-nyu/coe.html" TargetMode="External"/><Relationship Id="rId14" Type="http://schemas.openxmlformats.org/officeDocument/2006/relationships/hyperlink" Target="https://www.nyu.edu/faculty/teaching-and-learning-resources/teaching-with-generative-tools/frequently-asked-questions.html" TargetMode="External"/><Relationship Id="rId17" Type="http://schemas.openxmlformats.org/officeDocument/2006/relationships/hyperlink" Target="https://aitoolkit.commons.gc.cuny.edu/" TargetMode="External"/><Relationship Id="rId16" Type="http://schemas.openxmlformats.org/officeDocument/2006/relationships/hyperlink" Target="https://www.cuny.edu/academics/ai-academic-hub/" TargetMode="External"/><Relationship Id="rId19" Type="http://schemas.openxmlformats.org/officeDocument/2006/relationships/hyperlink" Target="https://www.ccny.cuny.edu/tlc/making-your-course-available?srsltid=AfmBOoojIHHL2OxDCdrK-0Xc9elMyrAnNWVcOtEzwybtMdTvH4Pbcfy-" TargetMode="External"/><Relationship Id="rId18" Type="http://schemas.openxmlformats.org/officeDocument/2006/relationships/hyperlink" Target="https://www.cuny.edu/about/administration/offices/legal-affairs/policies-resources/academic-integrity-policy/"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cpce-polyu.edu.hk/docs/cpceacademicregistrycarlibraries/default-document-library/cpce_student_handbook.pdf" TargetMode="External"/><Relationship Id="rId42" Type="http://schemas.openxmlformats.org/officeDocument/2006/relationships/hyperlink" Target="https://www.polyu.edu.hk/engl/experience-and-opportunities/generative-ai/inappropriate-usage-and-limitations/" TargetMode="External"/><Relationship Id="rId41" Type="http://schemas.openxmlformats.org/officeDocument/2006/relationships/hyperlink" Target="https://www.polyu.edu.hk/cus/student/4-year-undergraduate-student/general-university-requirements/for-students-who-admitted-from-2022-23/artificial-intelligence-and-data-analytics-requirement/" TargetMode="External"/><Relationship Id="rId44" Type="http://schemas.openxmlformats.org/officeDocument/2006/relationships/hyperlink" Target="https://www.ln.edu.hk/philoso/f/page/103887/PHI2118.pdf" TargetMode="External"/><Relationship Id="rId43" Type="http://schemas.openxmlformats.org/officeDocument/2006/relationships/hyperlink" Target="https://www.ln.edu.hk/philoso/f/page/103887/PHI1002.pdf" TargetMode="External"/><Relationship Id="rId46" Type="http://schemas.openxmlformats.org/officeDocument/2006/relationships/hyperlink" Target="http://www.lms.polyu.edu.hk/subject-syllabi/ug/LGT1041.pdf" TargetMode="External"/><Relationship Id="rId45" Type="http://schemas.openxmlformats.org/officeDocument/2006/relationships/hyperlink" Target="https://www.polyu.edu.hk/bre/docdrive/Subject_Syllabus/2025_26/ServiceLearning/CE1002.pdf" TargetMode="External"/><Relationship Id="rId1" Type="http://schemas.openxmlformats.org/officeDocument/2006/relationships/comments" Target="../comments2.xml"/><Relationship Id="rId2" Type="http://schemas.openxmlformats.org/officeDocument/2006/relationships/hyperlink" Target="https://www.policyaddress.gov.hk/2021/eng/pdf/publications/14-5/14-5-full.pdf" TargetMode="External"/><Relationship Id="rId3" Type="http://schemas.openxmlformats.org/officeDocument/2006/relationships/hyperlink" Target="https://www.mee.gov.cn/zcwj/gwywj/202508/t20250827_1126207.shtml" TargetMode="External"/><Relationship Id="rId4" Type="http://schemas.openxmlformats.org/officeDocument/2006/relationships/hyperlink" Target="https://www.digitalpolicy.gov.hk/en/our_work/data_governance/policies_standards/ethical_ai_framework/doc/Ethical_AI_Framework_en.pdf" TargetMode="External"/><Relationship Id="rId9" Type="http://schemas.openxmlformats.org/officeDocument/2006/relationships/hyperlink" Target="https://www.news.gov.hk/eng/2026/04/20260424/20260424_152830_500.html" TargetMode="External"/><Relationship Id="rId48" Type="http://schemas.openxmlformats.org/officeDocument/2006/relationships/hyperlink" Target="https://webapp.science.hku.hk/sr4/servlet/enquiry?Type=Course&amp;course_code=APAI1001" TargetMode="External"/><Relationship Id="rId47" Type="http://schemas.openxmlformats.org/officeDocument/2006/relationships/hyperlink" Target="https://www.polyu.edu.hk/eee/-/media/department/eee/content/study/subject-syllabi/eee-subject-syllabi/2024-10-ee-eie/eie1d03_sdf_2024.pdf" TargetMode="External"/><Relationship Id="rId49" Type="http://schemas.openxmlformats.org/officeDocument/2006/relationships/hyperlink" Target="https://www.polyu.edu.hk/af/-/media/department/af/content/study/subject-syllabi/ug/2025/af1605_20252.pdf?rev=9427fd0bdf10410e9d05c6b624bf5119&amp;hash=F1C928E59CA93E1AF35D6AC926F97DB9" TargetMode="External"/><Relationship Id="rId5" Type="http://schemas.openxmlformats.org/officeDocument/2006/relationships/hyperlink" Target="https://www.digitalpolicy.gov.hk/en/our_work/data_governance/policies_standards/ethical_ai_framework/doc/HK_Generative_AI_Technical_and_Application_Guideline_en.pdf" TargetMode="External"/><Relationship Id="rId6" Type="http://schemas.openxmlformats.org/officeDocument/2006/relationships/hyperlink" Target="https://www.itib.gov.hk/en/publications/I&amp;T%20Blueprint%20Book_EN_single_Digital.pdf" TargetMode="External"/><Relationship Id="rId7" Type="http://schemas.openxmlformats.org/officeDocument/2006/relationships/hyperlink" Target="https://www.ugc.edu.hk/eng/ugc/about/press_speech_other/press/2023/pr20230628.html" TargetMode="External"/><Relationship Id="rId8" Type="http://schemas.openxmlformats.org/officeDocument/2006/relationships/hyperlink" Target="http://news.gov.hk" TargetMode="External"/><Relationship Id="rId31" Type="http://schemas.openxmlformats.org/officeDocument/2006/relationships/hyperlink" Target="https://www.ln.edu.hk/reg/undergraduate-programmes/core-curriculum" TargetMode="External"/><Relationship Id="rId30" Type="http://schemas.openxmlformats.org/officeDocument/2006/relationships/hyperlink" Target="https://www.ln.edu.hk/sds/dai/ds/f/page/105561/CDS2002%20Introduction%20to%20Artificial%20Intelligence%20%28Required%29.190825.pdf" TargetMode="External"/><Relationship Id="rId33" Type="http://schemas.openxmlformats.org/officeDocument/2006/relationships/hyperlink" Target="https://www.polyu.edu.hk/ar/docdrive/polyu-students/Student-guide-on-the-use-of-GenAI-revised-260105.pdf" TargetMode="External"/><Relationship Id="rId32" Type="http://schemas.openxmlformats.org/officeDocument/2006/relationships/hyperlink" Target="https://www.polyu.edu.hk/its/it-services/polyu-genai/" TargetMode="External"/><Relationship Id="rId35" Type="http://schemas.openxmlformats.org/officeDocument/2006/relationships/hyperlink" Target="https://www.polyu.edu.hk/elc/docdrive/genai_at_elc/GenAI@ELC_Brainstorming_and_Researching_Ideas.pdf" TargetMode="External"/><Relationship Id="rId34" Type="http://schemas.openxmlformats.org/officeDocument/2006/relationships/hyperlink" Target="https://www.polyu.edu.hk/sd/-/media/department/sd/content/research-2/research-integrity/generative-ai-use-guideline--design-research-integrity202509.pdf" TargetMode="External"/><Relationship Id="rId37" Type="http://schemas.openxmlformats.org/officeDocument/2006/relationships/hyperlink" Target="https://www.polyu.edu.hk/edc/explore-a-topic/generative-ai/" TargetMode="External"/><Relationship Id="rId36" Type="http://schemas.openxmlformats.org/officeDocument/2006/relationships/hyperlink" Target="https://libguides.lb.polyu.edu.hk/genai-academic/ai-academic-integrity" TargetMode="External"/><Relationship Id="rId39" Type="http://schemas.openxmlformats.org/officeDocument/2006/relationships/hyperlink" Target="https://www.polyu.edu.hk/edc/-/media/department/edc/content/explore-a-topic/generative-ai/fite-case-study---lydia.pdf" TargetMode="External"/><Relationship Id="rId38" Type="http://schemas.openxmlformats.org/officeDocument/2006/relationships/hyperlink" Target="https://www.polyu.edu.hk/so/-/media/department/so/content/study/so2d01.pdf" TargetMode="External"/><Relationship Id="rId20" Type="http://schemas.openxmlformats.org/officeDocument/2006/relationships/hyperlink" Target="https://www4.hku.hk/pubunit/drcd/files/ugdr2025-26/Education/BEd&amp;BSc.pdf" TargetMode="External"/><Relationship Id="rId22" Type="http://schemas.openxmlformats.org/officeDocument/2006/relationships/hyperlink" Target="https://talic.hku.hk/innovation/ai-cop/hub/teaching-and-learning-application/" TargetMode="External"/><Relationship Id="rId21" Type="http://schemas.openxmlformats.org/officeDocument/2006/relationships/hyperlink" Target="https://hkuspace.hku.hk/news/detail/hku-policy-on-use-of-generative-artificial-intelligence-for-teaching-and-learning" TargetMode="External"/><Relationship Id="rId24" Type="http://schemas.openxmlformats.org/officeDocument/2006/relationships/hyperlink" Target="https://www.ln.edu.hk/itsc/services/teaching-learning-research-services/generative-ai-service" TargetMode="External"/><Relationship Id="rId23" Type="http://schemas.openxmlformats.org/officeDocument/2006/relationships/hyperlink" Target="https://www.ln.edu.hk/president/chatgpt/index.html" TargetMode="External"/><Relationship Id="rId26" Type="http://schemas.openxmlformats.org/officeDocument/2006/relationships/hyperlink" Target="https://www.ln.edu.hk/tlc/f/page/107180/Use%20of%20Generative%20Artificial%20Intelligence%20%28GAI%29%20Tools%20Term%201%202024-25.pdf" TargetMode="External"/><Relationship Id="rId25" Type="http://schemas.openxmlformats.org/officeDocument/2006/relationships/hyperlink" Target="https://www.ln.edu.hk/tlc/f/page/107180/Guidelines%20for%20Using%20GAI%20Tools%20%28Oct%202024%29.pdf" TargetMode="External"/><Relationship Id="rId28" Type="http://schemas.openxmlformats.org/officeDocument/2006/relationships/hyperlink" Target="https://www.ln.edu.hk/eng/f/page/104051/ENG2101_AQAC_2024.pdf" TargetMode="External"/><Relationship Id="rId27" Type="http://schemas.openxmlformats.org/officeDocument/2006/relationships/hyperlink" Target="https://www.ln.edu.hk/tran/f/page/116062/ai-usage-policy-for-ug-and-tpg-programmes.pdf" TargetMode="External"/><Relationship Id="rId29" Type="http://schemas.openxmlformats.org/officeDocument/2006/relationships/hyperlink" Target="https://www.ln.edu.hk/eng/f/page/104051/eng3009.pdf" TargetMode="External"/><Relationship Id="rId51" Type="http://schemas.openxmlformats.org/officeDocument/2006/relationships/drawing" Target="../drawings/drawing3.xml"/><Relationship Id="rId50" Type="http://schemas.openxmlformats.org/officeDocument/2006/relationships/hyperlink" Target="https://www.polyu.edu.hk/mm/-/media/department/mm/content/study/subject-syllabi/mm4922.pdf" TargetMode="External"/><Relationship Id="rId52" Type="http://schemas.openxmlformats.org/officeDocument/2006/relationships/vmlDrawing" Target="../drawings/vmlDrawing2.vml"/><Relationship Id="rId11" Type="http://schemas.openxmlformats.org/officeDocument/2006/relationships/hyperlink" Target="https://aicop.hktea.hku.hk/about-us" TargetMode="External"/><Relationship Id="rId10" Type="http://schemas.openxmlformats.org/officeDocument/2006/relationships/hyperlink" Target="https://www.legco.gov.hk/yr2026/english/panels/ed/papers/ed20260127cb3-24-1-e.pdf" TargetMode="External"/><Relationship Id="rId13" Type="http://schemas.openxmlformats.org/officeDocument/2006/relationships/hyperlink" Target="https://libguides.lib.hku.hk/AI-literacy/Home" TargetMode="External"/><Relationship Id="rId12" Type="http://schemas.openxmlformats.org/officeDocument/2006/relationships/hyperlink" Target="https://tl.hku.hk/genai/hku-genai-services/" TargetMode="External"/><Relationship Id="rId15" Type="http://schemas.openxmlformats.org/officeDocument/2006/relationships/hyperlink" Target="https://aied.talic.hku.hk/aipolicy/" TargetMode="External"/><Relationship Id="rId14" Type="http://schemas.openxmlformats.org/officeDocument/2006/relationships/hyperlink" Target="https://talic.hku.hk/innovation/ai-ethics/core-principles/" TargetMode="External"/><Relationship Id="rId17" Type="http://schemas.openxmlformats.org/officeDocument/2006/relationships/hyperlink" Target="https://www.rss.hku.hk/integrity/generative-ai" TargetMode="External"/><Relationship Id="rId16" Type="http://schemas.openxmlformats.org/officeDocument/2006/relationships/hyperlink" Target="https://researchintegrity.law.hku.hk/guidelines-on-the-responsible-use-of-generative-ai-in-research-at-the-university-of-hong-kong/" TargetMode="External"/><Relationship Id="rId19" Type="http://schemas.openxmlformats.org/officeDocument/2006/relationships/hyperlink" Target="https://web.socsc.hku.hk/wp-content/uploads/2026/03/BJ_2025-26.pdf" TargetMode="External"/><Relationship Id="rId18" Type="http://schemas.openxmlformats.org/officeDocument/2006/relationships/hyperlink" Target="https://ailt.cds.hku.hk/"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polyu.edu.hk/mm/-/media/department/mm/content/study/subject-syllabi_tpg/mm6452.pdf" TargetMode="External"/><Relationship Id="rId42" Type="http://schemas.openxmlformats.org/officeDocument/2006/relationships/hyperlink" Target="https://www.ln.edu.hk/tlc/f/page/107180/Guidelines%20for%20Using%20GAI%20Tools%20%28Oct%202024%29.pdf" TargetMode="External"/><Relationship Id="rId41" Type="http://schemas.openxmlformats.org/officeDocument/2006/relationships/hyperlink" Target="https://www.polyu.edu.hk/comp/docdrive/tpg/subject/COMP5571.pdf" TargetMode="External"/><Relationship Id="rId44" Type="http://schemas.openxmlformats.org/officeDocument/2006/relationships/hyperlink" Target="https://www.ln.edu.hk/tlc/f/page/107180/Use%20of%20Generative%20Artificial%20Intelligence%20%28GAI%29%20Tools%20Term%201%202024-25.pdf" TargetMode="External"/><Relationship Id="rId43" Type="http://schemas.openxmlformats.org/officeDocument/2006/relationships/hyperlink" Target="https://www.ln.edu.hk/tlc/f/page/107180/Best%20Practices%20for%20Ethicial%20and%20Responsibilities%20Use%20of%20GAI%20%28Aug%202025%29.pdf" TargetMode="External"/><Relationship Id="rId46" Type="http://schemas.openxmlformats.org/officeDocument/2006/relationships/hyperlink" Target="https://www.ln.edu.hk/main/aqa/table-of-contents/chapter-four" TargetMode="External"/><Relationship Id="rId45" Type="http://schemas.openxmlformats.org/officeDocument/2006/relationships/hyperlink" Target="https://www.ln.edu.hk/tlc/generative-artificial-intelligence" TargetMode="External"/><Relationship Id="rId1" Type="http://schemas.openxmlformats.org/officeDocument/2006/relationships/comments" Target="../comments3.xml"/><Relationship Id="rId2" Type="http://schemas.openxmlformats.org/officeDocument/2006/relationships/hyperlink" Target="http://en.moe.gov.cn/news/press_releases/202604/t20260406_1432962.html" TargetMode="External"/><Relationship Id="rId3" Type="http://schemas.openxmlformats.org/officeDocument/2006/relationships/hyperlink" Target="http://en.moe.gov.cn/news/press_releases/202601/t20260120_1427027.html" TargetMode="External"/><Relationship Id="rId4" Type="http://schemas.openxmlformats.org/officeDocument/2006/relationships/hyperlink" Target="https://www.nda.gov.cn/sjj/zwgk/zcfb/0413/20260410162428109058250_pc.html" TargetMode="External"/><Relationship Id="rId9" Type="http://schemas.openxmlformats.org/officeDocument/2006/relationships/hyperlink" Target="https://www.digitalpolicy.gov.hk/en/our_work/data_governance/policies_standards/ethical_ai_framework/doc/HK_Generative_AI_Technical_and_Application_Guideline_en.pdf" TargetMode="External"/><Relationship Id="rId48" Type="http://schemas.openxmlformats.org/officeDocument/2006/relationships/hyperlink" Target="https://view.officeapps.live.com/op/view.aspx?src=https%3A%2F%2Fwww.ln.edu.hk%2Ftran%2Ff%2Fpage%2F116062%2FAI%2520Enabled%2520Tools%2520Declaration%2520Form_Translation_20250922.docx&amp;wdOrigin=BROWSELINK" TargetMode="External"/><Relationship Id="rId47" Type="http://schemas.openxmlformats.org/officeDocument/2006/relationships/hyperlink" Target="https://www.ln.edu.hk/tran/f/page/116062/ai-usage-policy-for-ug-and-tpg-programmes.pdf" TargetMode="External"/><Relationship Id="rId49" Type="http://schemas.openxmlformats.org/officeDocument/2006/relationships/hyperlink" Target="https://www.ln.edu.hk/sgs/f/upload/114745/Guidebook_for_RPg_Students.pdf" TargetMode="External"/><Relationship Id="rId5" Type="http://schemas.openxmlformats.org/officeDocument/2006/relationships/hyperlink" Target="https://www.mee.gov.cn/zcwj/gwywj/202508/t20250827_1126207.shtml" TargetMode="External"/><Relationship Id="rId6" Type="http://schemas.openxmlformats.org/officeDocument/2006/relationships/hyperlink" Target="https://hk.ocmfa.gov.cn/eng/xjpzxzywshd/202507/t20250729_11679232.htm" TargetMode="External"/><Relationship Id="rId7" Type="http://schemas.openxmlformats.org/officeDocument/2006/relationships/hyperlink" Target="https://www.policyaddress.gov.hk/2025/public/pdf/supplement/supplement-full_en.pdf" TargetMode="External"/><Relationship Id="rId8" Type="http://schemas.openxmlformats.org/officeDocument/2006/relationships/hyperlink" Target="https://www.edb.gov.hk/en/about-edb/legco/policy-address/2024_Panel_on_Education_Eng.pdf" TargetMode="External"/><Relationship Id="rId31" Type="http://schemas.openxmlformats.org/officeDocument/2006/relationships/hyperlink" Target="https://www.polyu.edu.hk/ar/students-in-taught-programmes/notices-to-students/2025/2025-09-26_must-read-for-success-in-your-study/" TargetMode="External"/><Relationship Id="rId30" Type="http://schemas.openxmlformats.org/officeDocument/2006/relationships/hyperlink" Target="https://www.polyu.edu.hk/ar/docdrive/polyu-students/student-handbook/Student_Handbook_2025-26_English.pdf" TargetMode="External"/><Relationship Id="rId33" Type="http://schemas.openxmlformats.org/officeDocument/2006/relationships/hyperlink" Target="https://www.polyu.edu.hk/elc/genai/" TargetMode="External"/><Relationship Id="rId32" Type="http://schemas.openxmlformats.org/officeDocument/2006/relationships/hyperlink" Target="https://www.polyu.edu.hk/sd/research/research-integrity/" TargetMode="External"/><Relationship Id="rId35" Type="http://schemas.openxmlformats.org/officeDocument/2006/relationships/hyperlink" Target="https://www.polyu.edu.hk/sd/-/media/department/sd/content/research-2/research-integrity/generative-ai-use-guideline--design-research-integrity202509.pdf" TargetMode="External"/><Relationship Id="rId34" Type="http://schemas.openxmlformats.org/officeDocument/2006/relationships/hyperlink" Target="https://www.polyu.edu.hk/elc/docdrive/genai_at_elc/Using_AI_to_improve_your_Language_Skills_Teacher_Version.pdf" TargetMode="External"/><Relationship Id="rId37" Type="http://schemas.openxmlformats.org/officeDocument/2006/relationships/hyperlink" Target="https://www.polyu.edu.hk/bre/docdrive/32111-32112-32113_BRE_AY24-25.pdf" TargetMode="External"/><Relationship Id="rId36" Type="http://schemas.openxmlformats.org/officeDocument/2006/relationships/hyperlink" Target="https://www.polyu.edu.hk/engl/experience-and-opportunities/generative-ai/inappropriate-usage-and-limitations/" TargetMode="External"/><Relationship Id="rId39" Type="http://schemas.openxmlformats.org/officeDocument/2006/relationships/hyperlink" Target="https://www.polyu.edu.hk/engl/-/media/department/engl/content/study/full-subject-list/level-5-subjects/engl5037_20241_v062024.pdf?rev=4b025a9c057a4610ae7412df21ff9f4c&amp;hash=8D2390F6F57D0EBFBD4658D32FC64610" TargetMode="External"/><Relationship Id="rId38" Type="http://schemas.openxmlformats.org/officeDocument/2006/relationships/hyperlink" Target="https://www.polyu.edu.hk/bre/docdrive/32111-32112-32113_BRE_AY24-25.pdf" TargetMode="External"/><Relationship Id="rId20" Type="http://schemas.openxmlformats.org/officeDocument/2006/relationships/hyperlink" Target="https://english.hku.hk/General_Information/Plagiarism_Warning_and_Guidelines_on_Use_of_GenAI" TargetMode="External"/><Relationship Id="rId22" Type="http://schemas.openxmlformats.org/officeDocument/2006/relationships/hyperlink" Target="https://summerinstitute.hku.hk/storage/media/Temp%20Files/2026_Course%20Outline/20251223_ICSS2026_Course%20Syllabus_2026-2" TargetMode="External"/><Relationship Id="rId21" Type="http://schemas.openxmlformats.org/officeDocument/2006/relationships/hyperlink" Target="https://www.med.hku.hk/en/teaching-and-learning/edtech/resource-hub" TargetMode="External"/><Relationship Id="rId24" Type="http://schemas.openxmlformats.org/officeDocument/2006/relationships/hyperlink" Target="https://psychology.hku.hk/wp-content/programmes/MSocScPsy/CourseOutlines/7315.pdf" TargetMode="External"/><Relationship Id="rId23" Type="http://schemas.openxmlformats.org/officeDocument/2006/relationships/hyperlink" Target="https://psychology.hku.hk/wp-content/programmes/MSocScPsy/CourseOutlines/7319.pdf" TargetMode="External"/><Relationship Id="rId26" Type="http://schemas.openxmlformats.org/officeDocument/2006/relationships/hyperlink" Target="https://bpyloo.hku.hk/wp-content/uploads/2025/09/GEOG3422-Course-Outline-01Sep2025.pdf" TargetMode="External"/><Relationship Id="rId25" Type="http://schemas.openxmlformats.org/officeDocument/2006/relationships/hyperlink" Target="https://foa-media.arch.hku.hk/media/upload/2025/10/UPAD7001_Reseach_Design_Seminar_Series_Course-Outline_2025-2026_10Sep.pdf" TargetMode="External"/><Relationship Id="rId28" Type="http://schemas.openxmlformats.org/officeDocument/2006/relationships/hyperlink" Target="https://www.polyu.edu.hk/edc/explore-a-topic/generative-ai/" TargetMode="External"/><Relationship Id="rId27" Type="http://schemas.openxmlformats.org/officeDocument/2006/relationships/hyperlink" Target="https://www.polyu.edu.hk/ar/docdrive/polyu-students/Student-guide-on-the-use-of-GenAI-revised-260105.pdf" TargetMode="External"/><Relationship Id="rId29" Type="http://schemas.openxmlformats.org/officeDocument/2006/relationships/hyperlink" Target="https://www.polyu.edu.hk/edc/-/media/department/edc/content/explore-a-topic/academic-integrity/expanded-honour-declaration-forms_june-2024.pdf?la=en&amp;hash=EBAD20FDCE2877034F7943181F8793AC" TargetMode="External"/><Relationship Id="rId51" Type="http://schemas.openxmlformats.org/officeDocument/2006/relationships/hyperlink" Target="https://www.ln.edu.hk/history/f/upload/105794/345198/HIST%20Departmental%20policy%20on%20GAI%20tools.pdf" TargetMode="External"/><Relationship Id="rId50" Type="http://schemas.openxmlformats.org/officeDocument/2006/relationships/hyperlink" Target="https://www.ln.edu.hk/ceal/f/page/109859/CEAL%20Gen%20AI%20Policy%20for%20students.pdf" TargetMode="External"/><Relationship Id="rId53" Type="http://schemas.openxmlformats.org/officeDocument/2006/relationships/hyperlink" Target="https://www.ln.edu.hk/sds/dai/ds/f/page/105561/CDS3003%20Machine%20Learning%20%28Required%29.190825.pdf" TargetMode="External"/><Relationship Id="rId52" Type="http://schemas.openxmlformats.org/officeDocument/2006/relationships/hyperlink" Target="https://www.ln.edu.hk/sds/dai/ds/f/page/105561/CDS2002%20Introduction%20to%20Artificial%20Intelligence%20%28Required%29.190825.pdf" TargetMode="External"/><Relationship Id="rId11" Type="http://schemas.openxmlformats.org/officeDocument/2006/relationships/hyperlink" Target="https://www.ugc.edu.hk/eng/ugc/activity/teach_learn/fite.html" TargetMode="External"/><Relationship Id="rId55" Type="http://schemas.openxmlformats.org/officeDocument/2006/relationships/hyperlink" Target="https://www.ln.edu.hk/ceal/f/page/109868/SPA1302.pdf" TargetMode="External"/><Relationship Id="rId10" Type="http://schemas.openxmlformats.org/officeDocument/2006/relationships/hyperlink" Target="https://www.digitalpolicy.gov.hk/en/our_work/data_governance/policies_standards/ethical_ai_framework/doc/Ethical_AI_Framework_en.pdf" TargetMode="External"/><Relationship Id="rId54" Type="http://schemas.openxmlformats.org/officeDocument/2006/relationships/hyperlink" Target="https://www.ln.edu.hk/sds/dai/mscaiba/f/page/72803/MScAIBA%20-%20Student%20Handbook%202023-24.pdf" TargetMode="External"/><Relationship Id="rId13" Type="http://schemas.openxmlformats.org/officeDocument/2006/relationships/hyperlink" Target="https://aied.talic.hku.hk/aipolicy/" TargetMode="External"/><Relationship Id="rId57" Type="http://schemas.openxmlformats.org/officeDocument/2006/relationships/drawing" Target="../drawings/drawing4.xml"/><Relationship Id="rId12" Type="http://schemas.openxmlformats.org/officeDocument/2006/relationships/hyperlink" Target="https://talic.hku.hk/innovation/ai-ethics/core-principles/" TargetMode="External"/><Relationship Id="rId56" Type="http://schemas.openxmlformats.org/officeDocument/2006/relationships/hyperlink" Target="https://www.ln.edu.hk/dos/f/upload/109663/CCC8013%20The%20Process%20of%20Science%20-%20Revised%20Syllabus%20%20Rubrics_20240807.pdf" TargetMode="External"/><Relationship Id="rId15" Type="http://schemas.openxmlformats.org/officeDocument/2006/relationships/hyperlink" Target="https://www.rss.hku.hk/integrity/generative-ai" TargetMode="External"/><Relationship Id="rId14" Type="http://schemas.openxmlformats.org/officeDocument/2006/relationships/hyperlink" Target="https://www.rss.hku.hk/research-integrity/GenAI-research-guidelines.pdf" TargetMode="External"/><Relationship Id="rId58" Type="http://schemas.openxmlformats.org/officeDocument/2006/relationships/vmlDrawing" Target="../drawings/vmlDrawing3.vml"/><Relationship Id="rId17" Type="http://schemas.openxmlformats.org/officeDocument/2006/relationships/hyperlink" Target="https://gradsch.hku.hk/news_and_events/newsletter/using-genai-responsibly-your-research-quick-guide-rpg-students" TargetMode="External"/><Relationship Id="rId16" Type="http://schemas.openxmlformats.org/officeDocument/2006/relationships/hyperlink" Target="https://commoncore.hku.hk/wp-content/uploads/documents/Guidebook%20-%20GenAI%20in%20Teaching%20and%20Learning.pdf" TargetMode="External"/><Relationship Id="rId19" Type="http://schemas.openxmlformats.org/officeDocument/2006/relationships/hyperlink" Target="https://innowings.engg.hku.hk/innowing1/aiguide/" TargetMode="External"/><Relationship Id="rId18" Type="http://schemas.openxmlformats.org/officeDocument/2006/relationships/hyperlink" Target="https://hkuspace.hku.hk/news/detail/hku-policy-on-use-of-generative-artificial-intelligence-for-teaching-and-learning"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file/d/1esHl6KH7WElMt3sCCwC0zBQ93M8H3gW8/view?usp=sharing" TargetMode="External"/><Relationship Id="rId42" Type="http://schemas.openxmlformats.org/officeDocument/2006/relationships/hyperlink" Target="https://www.mee.gov.cn/zcwj/gwywj/202508/t20250827_1126207.shtml" TargetMode="External"/><Relationship Id="rId41" Type="http://schemas.openxmlformats.org/officeDocument/2006/relationships/hyperlink" Target="https://www.policyaddress.gov.hk/2021/eng/pdf/publications/14-5/14-5-full.pdf" TargetMode="External"/><Relationship Id="rId44" Type="http://schemas.openxmlformats.org/officeDocument/2006/relationships/hyperlink" Target="https://www.digitalpolicy.gov.hk/en/our_work/data_governance/policies_standards/ethical_ai_framework/doc/HK_Generative_AI_Technical_and_Application_Guideline_en.pdf" TargetMode="External"/><Relationship Id="rId43" Type="http://schemas.openxmlformats.org/officeDocument/2006/relationships/hyperlink" Target="https://www.digitalpolicy.gov.hk/en/our_work/data_governance/policies_standards/ethical_ai_framework/doc/Ethical_AI_Framework_en.pdf" TargetMode="External"/><Relationship Id="rId46" Type="http://schemas.openxmlformats.org/officeDocument/2006/relationships/hyperlink" Target="https://www.ugc.edu.hk/eng/ugc/about/press_speech_other/press/2023/pr20230628.html" TargetMode="External"/><Relationship Id="rId45" Type="http://schemas.openxmlformats.org/officeDocument/2006/relationships/hyperlink" Target="https://www.itib.gov.hk/en/publications/I&amp;T%20Blueprint%20Book_EN_single_Digital.pdf" TargetMode="External"/><Relationship Id="rId80" Type="http://schemas.openxmlformats.org/officeDocument/2006/relationships/hyperlink" Target="https://www.polyu.edu.hk/cus/student/4-year-undergraduate-student/general-university-requirements/for-students-who-admitted-from-2022-23/artificial-intelligence-and-data-analytics-requirement/" TargetMode="External"/><Relationship Id="rId82" Type="http://schemas.openxmlformats.org/officeDocument/2006/relationships/drawing" Target="../drawings/drawing6.xml"/><Relationship Id="rId81" Type="http://schemas.openxmlformats.org/officeDocument/2006/relationships/hyperlink" Target="https://www.polyu.edu.hk/engl/experience-and-opportunities/generative-ai/inappropriate-usage-and-limitations/" TargetMode="External"/><Relationship Id="rId1" Type="http://schemas.openxmlformats.org/officeDocument/2006/relationships/hyperlink" Target="https://www.whitehouse.gov/wp-content/uploads/2025/02/M-25-21-Accelerating-Federal-Use-of-AI-through-Innovation-Governance-and-Public-Trust.pdf" TargetMode="External"/><Relationship Id="rId2" Type="http://schemas.openxmlformats.org/officeDocument/2006/relationships/hyperlink" Target="https://www.ed.gov/media/document/opepd-ai-dear-colleague-letter-7222025-110427.pdf" TargetMode="External"/><Relationship Id="rId3" Type="http://schemas.openxmlformats.org/officeDocument/2006/relationships/hyperlink" Target="https://www.whitehouse.gov/presidential-actions/2025/01/removing-barriers-to-american-leadership-in-artificial-intelligence/" TargetMode="External"/><Relationship Id="rId4" Type="http://schemas.openxmlformats.org/officeDocument/2006/relationships/hyperlink" Target="https://www.ed.gov/sites/ed/files/documents/ai-report/ai-report.pdf" TargetMode="External"/><Relationship Id="rId9" Type="http://schemas.openxmlformats.org/officeDocument/2006/relationships/hyperlink" Target="https://its.ny.gov/system/files/documents/2026/01/nys-p24-001-acceptable-use-of-ai.pdf" TargetMode="External"/><Relationship Id="rId48" Type="http://schemas.openxmlformats.org/officeDocument/2006/relationships/hyperlink" Target="https://www.news.gov.hk/eng/2026/04/20260424/20260424_152830_500.html" TargetMode="External"/><Relationship Id="rId47" Type="http://schemas.openxmlformats.org/officeDocument/2006/relationships/hyperlink" Target="http://news.gov.hk" TargetMode="External"/><Relationship Id="rId49" Type="http://schemas.openxmlformats.org/officeDocument/2006/relationships/hyperlink" Target="https://www.legco.gov.hk/yr2026/english/panels/ed/papers/ed20260127cb3-24-1-e.pdf" TargetMode="External"/><Relationship Id="rId5" Type="http://schemas.openxmlformats.org/officeDocument/2006/relationships/hyperlink" Target="https://doi.org/10.6028/NIST.AI.600-1" TargetMode="External"/><Relationship Id="rId6" Type="http://schemas.openxmlformats.org/officeDocument/2006/relationships/hyperlink" Target="https://www.osc.ny.gov/state-agencies/audits/2025/04/03/new-york-state-artificial-intelligence-governance?utm_source=chatgpt.com" TargetMode="External"/><Relationship Id="rId7" Type="http://schemas.openxmlformats.org/officeDocument/2006/relationships/hyperlink" Target="https://www.nyc.gov/assets/oti/downloads/pdf/NYC-OTI_Guidance_AI-Public-Participation-and-Engagement.pdf" TargetMode="External"/><Relationship Id="rId8" Type="http://schemas.openxmlformats.org/officeDocument/2006/relationships/hyperlink" Target="https://www.nyc.gov/assets/oti/downloads/pdf/New-York-City-Generative-AI-Use-Guidance.pdf" TargetMode="External"/><Relationship Id="rId73" Type="http://schemas.openxmlformats.org/officeDocument/2006/relationships/hyperlink" Target="https://www.polyu.edu.hk/sd/-/media/department/sd/content/research-2/research-integrity/generative-ai-use-guideline--design-research-integrity202509.pdf" TargetMode="External"/><Relationship Id="rId72" Type="http://schemas.openxmlformats.org/officeDocument/2006/relationships/hyperlink" Target="https://www.polyu.edu.hk/ar/docdrive/polyu-students/Student-guide-on-the-use-of-GenAI-revised-260105.pdf" TargetMode="External"/><Relationship Id="rId31" Type="http://schemas.openxmlformats.org/officeDocument/2006/relationships/hyperlink" Target="https://drive.google.com/file/d/1MNCsBz2uAPqu6CfCym6UAzLgOE_mt47x/view?usp=sharing" TargetMode="External"/><Relationship Id="rId75" Type="http://schemas.openxmlformats.org/officeDocument/2006/relationships/hyperlink" Target="https://libguides.lb.polyu.edu.hk/genai-academic/ai-academic-integrity" TargetMode="External"/><Relationship Id="rId30" Type="http://schemas.openxmlformats.org/officeDocument/2006/relationships/hyperlink" Target="https://drive.google.com/file/d/1rCXATLdYAIkYGa7BfhNw8gK1J9KtoEeq/view?usp=sharing" TargetMode="External"/><Relationship Id="rId74" Type="http://schemas.openxmlformats.org/officeDocument/2006/relationships/hyperlink" Target="https://www.polyu.edu.hk/elc/docdrive/genai_at_elc/GenAI@ELC_Brainstorming_and_Researching_Ideas.pdf" TargetMode="External"/><Relationship Id="rId33" Type="http://schemas.openxmlformats.org/officeDocument/2006/relationships/hyperlink" Target="https://drive.google.com/file/d/1cfz6TQcy3Ua43b0jjV85q_c2fT_zrwo6/view?usp=sharing" TargetMode="External"/><Relationship Id="rId77" Type="http://schemas.openxmlformats.org/officeDocument/2006/relationships/hyperlink" Target="https://www.polyu.edu.hk/so/-/media/department/so/content/study/so2d01.pdf" TargetMode="External"/><Relationship Id="rId32" Type="http://schemas.openxmlformats.org/officeDocument/2006/relationships/hyperlink" Target="https://drive.google.com/file/d/1G9YbiEIGx_-W9hOKhYqNXA22gHe7CbDQ/view?usp=sharing" TargetMode="External"/><Relationship Id="rId76" Type="http://schemas.openxmlformats.org/officeDocument/2006/relationships/hyperlink" Target="https://www.polyu.edu.hk/edc/explore-a-topic/generative-ai/" TargetMode="External"/><Relationship Id="rId35" Type="http://schemas.openxmlformats.org/officeDocument/2006/relationships/hyperlink" Target="https://drive.google.com/file/d/1H2_k9EldtHx3DfqNfL7GlEcHRS46K4Oa/view?usp=sharing" TargetMode="External"/><Relationship Id="rId79" Type="http://schemas.openxmlformats.org/officeDocument/2006/relationships/hyperlink" Target="https://www.cpce-polyu.edu.hk/docs/cpceacademicregistrycarlibraries/default-document-library/cpce_student_handbook.pdf" TargetMode="External"/><Relationship Id="rId34" Type="http://schemas.openxmlformats.org/officeDocument/2006/relationships/hyperlink" Target="https://drive.google.com/file/d/1cfz6TQcy3Ua43b0jjV85q_c2fT_zrwo6/view?usp=sharing" TargetMode="External"/><Relationship Id="rId78" Type="http://schemas.openxmlformats.org/officeDocument/2006/relationships/hyperlink" Target="https://www.polyu.edu.hk/edc/-/media/department/edc/content/explore-a-topic/generative-ai/fite-case-study---lydia.pdf" TargetMode="External"/><Relationship Id="rId71" Type="http://schemas.openxmlformats.org/officeDocument/2006/relationships/hyperlink" Target="https://www.polyu.edu.hk/its/it-services/polyu-genai/" TargetMode="External"/><Relationship Id="rId70" Type="http://schemas.openxmlformats.org/officeDocument/2006/relationships/hyperlink" Target="https://www.ln.edu.hk/reg/undergraduate-programmes/core-curriculum" TargetMode="External"/><Relationship Id="rId37" Type="http://schemas.openxmlformats.org/officeDocument/2006/relationships/hyperlink" Target="https://drive.google.com/file/d/1C5ZT1HLe7_EAttKjUuOHjaJ0TWJzAmIn/view?usp=sharing" TargetMode="External"/><Relationship Id="rId36" Type="http://schemas.openxmlformats.org/officeDocument/2006/relationships/hyperlink" Target="https://drive.google.com/file/d/1puXJUa7CNm-omwvFfPxacqJwc_m5GFHM/view?usp=sharing" TargetMode="External"/><Relationship Id="rId39" Type="http://schemas.openxmlformats.org/officeDocument/2006/relationships/hyperlink" Target="https://drive.google.com/file/d/1TgfycwxRcyBXLKvlxRa1Pk8Qmfti5pHC/view?usp=sharing" TargetMode="External"/><Relationship Id="rId38" Type="http://schemas.openxmlformats.org/officeDocument/2006/relationships/hyperlink" Target="https://drive.google.com/file/d/1Cs1MNdWi1nsUGhMgU5eu2fjJxFt59fyH/view?usp=sharing" TargetMode="External"/><Relationship Id="rId62" Type="http://schemas.openxmlformats.org/officeDocument/2006/relationships/hyperlink" Target="https://www.ln.edu.hk/president/chatgpt/index.html" TargetMode="External"/><Relationship Id="rId61" Type="http://schemas.openxmlformats.org/officeDocument/2006/relationships/hyperlink" Target="https://talic.hku.hk/innovation/ai-cop/hub/teaching-and-learning-application/" TargetMode="External"/><Relationship Id="rId20" Type="http://schemas.openxmlformats.org/officeDocument/2006/relationships/hyperlink" Target="https://www.ccny.cuny.edu/tlc/making-your-course-available?srsltid=AfmBOoojIHHL2OxDCdrK-0Xc9elMyrAnNWVcOtEzwybtMdTvH4Pbcfy-" TargetMode="External"/><Relationship Id="rId64" Type="http://schemas.openxmlformats.org/officeDocument/2006/relationships/hyperlink" Target="https://www.ln.edu.hk/tlc/f/page/107180/Guidelines%20for%20Using%20GAI%20Tools%20%28Oct%202024%29.pdf" TargetMode="External"/><Relationship Id="rId63" Type="http://schemas.openxmlformats.org/officeDocument/2006/relationships/hyperlink" Target="https://www.ln.edu.hk/itsc/services/teaching-learning-research-services/generative-ai-service" TargetMode="External"/><Relationship Id="rId22" Type="http://schemas.openxmlformats.org/officeDocument/2006/relationships/hyperlink" Target="https://www.qc.cuny.edu/cetll/wp-content/uploads/sites/138/2026/03/Generative-AI-in-the-Classroom-Best-Practices-a-CETLL-Guide_ACCESSIBLE_3.19.pdf" TargetMode="External"/><Relationship Id="rId66" Type="http://schemas.openxmlformats.org/officeDocument/2006/relationships/hyperlink" Target="https://www.ln.edu.hk/tran/f/page/116062/ai-usage-policy-for-ug-and-tpg-programmes.pdf" TargetMode="External"/><Relationship Id="rId21" Type="http://schemas.openxmlformats.org/officeDocument/2006/relationships/hyperlink" Target="https://www.hunter.cuny.edu/center-for-digital-learning-and-innovative-pedagogy/online-learning-resources/academic-integrity-policy/" TargetMode="External"/><Relationship Id="rId65" Type="http://schemas.openxmlformats.org/officeDocument/2006/relationships/hyperlink" Target="https://www.ln.edu.hk/tlc/f/page/107180/Use%20of%20Generative%20Artificial%20Intelligence%20%28GAI%29%20Tools%20Term%201%202024-25.pdf" TargetMode="External"/><Relationship Id="rId24" Type="http://schemas.openxmlformats.org/officeDocument/2006/relationships/hyperlink" Target="https://drive.google.com/file/d/1vpIMImBkHjO0WdQkfwMHJMqalNfzMFfF/view?usp=sharing" TargetMode="External"/><Relationship Id="rId68" Type="http://schemas.openxmlformats.org/officeDocument/2006/relationships/hyperlink" Target="https://www.ln.edu.hk/eng/f/page/104051/eng3009.pdf" TargetMode="External"/><Relationship Id="rId23" Type="http://schemas.openxmlformats.org/officeDocument/2006/relationships/hyperlink" Target="https://www.tc.columbia.edu/digitalfuturesinstitute/ai-in-education/recommendations-for-generative-ai-use-at-tc/" TargetMode="External"/><Relationship Id="rId67" Type="http://schemas.openxmlformats.org/officeDocument/2006/relationships/hyperlink" Target="https://www.ln.edu.hk/eng/f/page/104051/ENG2101_AQAC_2024.pdf" TargetMode="External"/><Relationship Id="rId60" Type="http://schemas.openxmlformats.org/officeDocument/2006/relationships/hyperlink" Target="https://hkuspace.hku.hk/news/detail/hku-policy-on-use-of-generative-artificial-intelligence-for-teaching-and-learning" TargetMode="External"/><Relationship Id="rId26" Type="http://schemas.openxmlformats.org/officeDocument/2006/relationships/hyperlink" Target="https://drive.google.com/file/d/1x6Rabj9fJIWJuqoQlKB-99D3JlQtcR-j/view?usp=sharing" TargetMode="External"/><Relationship Id="rId25" Type="http://schemas.openxmlformats.org/officeDocument/2006/relationships/hyperlink" Target="https://drive.google.com/file/d/13oVL6N7r7vYB1KfdVERnnLsAXYAWaAiJ/view?usp=sharing" TargetMode="External"/><Relationship Id="rId69" Type="http://schemas.openxmlformats.org/officeDocument/2006/relationships/hyperlink" Target="https://www.ln.edu.hk/sds/dai/ds/f/page/105561/CDS2002%20Introduction%20to%20Artificial%20Intelligence%20%28Required%29.190825.pdf" TargetMode="External"/><Relationship Id="rId28" Type="http://schemas.openxmlformats.org/officeDocument/2006/relationships/hyperlink" Target="https://drive.google.com/file/d/1l68uHLZyJdyVSyuizCnMc1JB86LshQiv/view?usp=sharing" TargetMode="External"/><Relationship Id="rId27" Type="http://schemas.openxmlformats.org/officeDocument/2006/relationships/hyperlink" Target="https://drive.google.com/file/d/1j3LCk46bRAsnaDwmTgqMfNXWPCMCiXkt/view?usp=sharing" TargetMode="External"/><Relationship Id="rId29" Type="http://schemas.openxmlformats.org/officeDocument/2006/relationships/hyperlink" Target="https://drive.google.com/file/d/1G-p2U2a_xoDn2UYY1Kf3AJdZFHKhWhbB/view?usp=sharing" TargetMode="External"/><Relationship Id="rId51" Type="http://schemas.openxmlformats.org/officeDocument/2006/relationships/hyperlink" Target="https://tl.hku.hk/genai/hku-genai-services/" TargetMode="External"/><Relationship Id="rId50" Type="http://schemas.openxmlformats.org/officeDocument/2006/relationships/hyperlink" Target="https://aicop.hktea.hku.hk/about-us" TargetMode="External"/><Relationship Id="rId53" Type="http://schemas.openxmlformats.org/officeDocument/2006/relationships/hyperlink" Target="https://talic.hku.hk/innovation/ai-ethics/core-principles/" TargetMode="External"/><Relationship Id="rId52" Type="http://schemas.openxmlformats.org/officeDocument/2006/relationships/hyperlink" Target="https://libguides.lib.hku.hk/AI-literacy/Home" TargetMode="External"/><Relationship Id="rId11" Type="http://schemas.openxmlformats.org/officeDocument/2006/relationships/hyperlink" Target="https://etc.cuit.columbia.edu/news/best-practices-responsible-ai-use" TargetMode="External"/><Relationship Id="rId55" Type="http://schemas.openxmlformats.org/officeDocument/2006/relationships/hyperlink" Target="https://researchintegrity.law.hku.hk/guidelines-on-the-responsible-use-of-generative-ai-in-research-at-the-university-of-hong-kong/" TargetMode="External"/><Relationship Id="rId10" Type="http://schemas.openxmlformats.org/officeDocument/2006/relationships/hyperlink" Target="https://provost.columbia.edu/content/office-senior-vice-provost/ai-policy" TargetMode="External"/><Relationship Id="rId54" Type="http://schemas.openxmlformats.org/officeDocument/2006/relationships/hyperlink" Target="https://aied.talic.hku.hk/aipolicy/" TargetMode="External"/><Relationship Id="rId13" Type="http://schemas.openxmlformats.org/officeDocument/2006/relationships/hyperlink" Target="https://steinhardt.nyu.edu/faculty-and-staff/academic-affairs/steinhardt-ai-hub/academic-integrity-and-syllabus-support-age" TargetMode="External"/><Relationship Id="rId57" Type="http://schemas.openxmlformats.org/officeDocument/2006/relationships/hyperlink" Target="https://ailt.cds.hku.hk/" TargetMode="External"/><Relationship Id="rId12" Type="http://schemas.openxmlformats.org/officeDocument/2006/relationships/hyperlink" Target="https://www.nyu.edu/faculty/teaching-and-learning-resources/teaching-with-generative-tools/frequently-asked-questions.html" TargetMode="External"/><Relationship Id="rId56" Type="http://schemas.openxmlformats.org/officeDocument/2006/relationships/hyperlink" Target="https://www.rss.hku.hk/integrity/generative-ai" TargetMode="External"/><Relationship Id="rId15" Type="http://schemas.openxmlformats.org/officeDocument/2006/relationships/hyperlink" Target="https://tisch.nyu.edu/faculty/academic-integ" TargetMode="External"/><Relationship Id="rId59" Type="http://schemas.openxmlformats.org/officeDocument/2006/relationships/hyperlink" Target="https://www4.hku.hk/pubunit/drcd/files/ugdr2025-26/Education/BEd&amp;BSc.pdf" TargetMode="External"/><Relationship Id="rId14" Type="http://schemas.openxmlformats.org/officeDocument/2006/relationships/hyperlink" Target="https://sites.google.com/stern.nyu.edu/teaching-learning-gen-ai/home" TargetMode="External"/><Relationship Id="rId58" Type="http://schemas.openxmlformats.org/officeDocument/2006/relationships/hyperlink" Target="https://web.socsc.hku.hk/wp-content/uploads/2026/03/BJ_2025-26.pdf" TargetMode="External"/><Relationship Id="rId17" Type="http://schemas.openxmlformats.org/officeDocument/2006/relationships/hyperlink" Target="https://www.cuny.edu/academics/ai-academic-hub/" TargetMode="External"/><Relationship Id="rId16" Type="http://schemas.openxmlformats.org/officeDocument/2006/relationships/hyperlink" Target="https://docs.google.com/document/d/1CbWKCBCMuO1kJlsK-ukD5lXGVuKuSzq8H8MFAQVvdDM/edit?usp=sharing" TargetMode="External"/><Relationship Id="rId19" Type="http://schemas.openxmlformats.org/officeDocument/2006/relationships/hyperlink" Target="https://www.kbcc.cuny.edu/studentaffairs/student_conduct/academic_integrity.html" TargetMode="External"/><Relationship Id="rId18" Type="http://schemas.openxmlformats.org/officeDocument/2006/relationships/hyperlink" Target="https://provost.baruch.cuny.edu/artificial-intelligence-think-tank/ai-use-guidance/"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it.cuimc.columbia.edu/ai-and-generative-technology-use-cuimc" TargetMode="External"/><Relationship Id="rId42" Type="http://schemas.openxmlformats.org/officeDocument/2006/relationships/hyperlink" Target="https://web-apps-shib.stern.nyu.edu/syllabi/static/syllabusfiles/COR1-GB.1102_02_F2025.pdf" TargetMode="External"/><Relationship Id="rId41" Type="http://schemas.openxmlformats.org/officeDocument/2006/relationships/hyperlink" Target="https://web-apps-shib.stern.nyu.edu/syllabi/static/syllabusfiles/MGMT-GB.2340_10_F2025.pdf" TargetMode="External"/><Relationship Id="rId44" Type="http://schemas.openxmlformats.org/officeDocument/2006/relationships/hyperlink" Target="https://as.nyu.edu/content/dam/nyu-as/environment/documents/Syllabi/spring-2025/Environmental%20Justice%20syllabus%202025%20-%20Colin%20Jerolmack.pdf" TargetMode="External"/><Relationship Id="rId43" Type="http://schemas.openxmlformats.org/officeDocument/2006/relationships/hyperlink" Target="https://cas.nyu.edu/content/dam/nyu-as/casCore/documents/syllabifall2025/BARBIERO%20SYLLABUS%202025%20-%20Copy%20%281%29.pdf" TargetMode="External"/><Relationship Id="rId46" Type="http://schemas.openxmlformats.org/officeDocument/2006/relationships/hyperlink" Target="https://academicworks.cuny.edu/cgi/viewcontent.cgi?article=1112&amp;context=le_oers" TargetMode="External"/><Relationship Id="rId45" Type="http://schemas.openxmlformats.org/officeDocument/2006/relationships/hyperlink" Target="https://as.nyu.edu/content/dam/nyu-as/cwp/documents/introsyllabi/fall2025syllabi/NYU%20Syllabus,%20Fall%202025%20-%20GDC-9.pdf" TargetMode="External"/><Relationship Id="rId107" Type="http://schemas.openxmlformats.org/officeDocument/2006/relationships/hyperlink" Target="https://www.ln.edu.hk/sds/dai/ds/f/page/105561/CDS3003%20Machine%20Learning%20%28Required%29.190825.pdf" TargetMode="External"/><Relationship Id="rId106" Type="http://schemas.openxmlformats.org/officeDocument/2006/relationships/hyperlink" Target="https://www.ln.edu.hk/sds/dai/ds/f/page/105561/CDS2002%20Introduction%20to%20Artificial%20Intelligence%20%28Required%29.190825.pdf" TargetMode="External"/><Relationship Id="rId105" Type="http://schemas.openxmlformats.org/officeDocument/2006/relationships/hyperlink" Target="https://www.ln.edu.hk/history/f/upload/105794/345198/HIST%20Departmental%20policy%20on%20GAI%20tools.pdf" TargetMode="External"/><Relationship Id="rId104" Type="http://schemas.openxmlformats.org/officeDocument/2006/relationships/hyperlink" Target="https://www.ln.edu.hk/ceal/f/page/109859/CEAL%20Gen%20AI%20Policy%20for%20students.pdf" TargetMode="External"/><Relationship Id="rId109" Type="http://schemas.openxmlformats.org/officeDocument/2006/relationships/hyperlink" Target="https://www.ln.edu.hk/ceal/f/page/109868/SPA1302.pdf" TargetMode="External"/><Relationship Id="rId108" Type="http://schemas.openxmlformats.org/officeDocument/2006/relationships/hyperlink" Target="https://www.ln.edu.hk/sds/dai/mscaiba/f/page/72803/MScAIBA%20-%20Student%20Handbook%202023-24.pdf" TargetMode="External"/><Relationship Id="rId48" Type="http://schemas.openxmlformats.org/officeDocument/2006/relationships/hyperlink" Target="https://academicworks.cuny.edu/cgi/viewcontent.cgi?article=1094&amp;context=jj_oers" TargetMode="External"/><Relationship Id="rId47" Type="http://schemas.openxmlformats.org/officeDocument/2006/relationships/hyperlink" Target="https://academicworks.cuny.edu/cgi/viewcontent.cgi?article=1583&amp;context=cc_oers" TargetMode="External"/><Relationship Id="rId49" Type="http://schemas.openxmlformats.org/officeDocument/2006/relationships/hyperlink" Target="https://academicworks.cuny.edu/cgi/viewcontent.cgi?article=1117&amp;context=qc_oers" TargetMode="External"/><Relationship Id="rId103" Type="http://schemas.openxmlformats.org/officeDocument/2006/relationships/hyperlink" Target="https://www.ln.edu.hk/sgs/f/upload/114745/Guidebook_for_RPg_Students.pdf" TargetMode="External"/><Relationship Id="rId102" Type="http://schemas.openxmlformats.org/officeDocument/2006/relationships/hyperlink" Target="https://view.officeapps.live.com/op/view.aspx?src=https%3A%2F%2Fwww.ln.edu.hk%2Ftran%2Ff%2Fpage%2F116062%2FAI%2520Enabled%2520Tools%2520Declaration%2520Form_Translation_20250922.docx&amp;wdOrigin=BROWSELINK" TargetMode="External"/><Relationship Id="rId101" Type="http://schemas.openxmlformats.org/officeDocument/2006/relationships/hyperlink" Target="https://www.ln.edu.hk/tran/f/page/116062/ai-usage-policy-for-ug-and-tpg-programmes.pdf" TargetMode="External"/><Relationship Id="rId100" Type="http://schemas.openxmlformats.org/officeDocument/2006/relationships/hyperlink" Target="https://www.ln.edu.hk/main/aqa/table-of-contents/chapter-four" TargetMode="External"/><Relationship Id="rId31" Type="http://schemas.openxmlformats.org/officeDocument/2006/relationships/hyperlink" Target="https://provost.baruch.cuny.edu/artificial-intelligence-think-tank/ai-use-guidance/" TargetMode="External"/><Relationship Id="rId30" Type="http://schemas.openxmlformats.org/officeDocument/2006/relationships/hyperlink" Target="https://as.nyu.edu/academics/teaching-excellence-and-innovation/services/course-support/genai-resources.html" TargetMode="External"/><Relationship Id="rId33" Type="http://schemas.openxmlformats.org/officeDocument/2006/relationships/hyperlink" Target="https://lagccwriting.commons.gc.cuny.edu/gen-ai-guidance/" TargetMode="External"/><Relationship Id="rId32" Type="http://schemas.openxmlformats.org/officeDocument/2006/relationships/hyperlink" Target="https://www.jjay.cuny.edu/about/senior-leadership/academic-affairs/office-provost/ai-policies-guidelines" TargetMode="External"/><Relationship Id="rId35" Type="http://schemas.openxmlformats.org/officeDocument/2006/relationships/hyperlink" Target="https://www.qc.cuny.edu/cetll/ai-resources/" TargetMode="External"/><Relationship Id="rId34" Type="http://schemas.openxmlformats.org/officeDocument/2006/relationships/hyperlink" Target="https://www.citytech.cuny.edu/ai/ai-guidance.aspx" TargetMode="External"/><Relationship Id="rId37" Type="http://schemas.openxmlformats.org/officeDocument/2006/relationships/hyperlink" Target="https://www.law.columbia.edu/academics/registration-services/resources/columbia-law-school-interim-policy-generative-ai" TargetMode="External"/><Relationship Id="rId36" Type="http://schemas.openxmlformats.org/officeDocument/2006/relationships/hyperlink" Target="https://www.tc.columbia.edu/digitalfuturesinstitute/ai-in-education/artificial-intelligence-in-education/tc-guidance/" TargetMode="External"/><Relationship Id="rId39" Type="http://schemas.openxmlformats.org/officeDocument/2006/relationships/hyperlink" Target="https://ai.ctl.columbia.edu/explore/ai-syllabus-statement/" TargetMode="External"/><Relationship Id="rId38" Type="http://schemas.openxmlformats.org/officeDocument/2006/relationships/hyperlink" Target="https://business.columbia.edu/samberg/ai/ai-basics" TargetMode="External"/><Relationship Id="rId20" Type="http://schemas.openxmlformats.org/officeDocument/2006/relationships/hyperlink" Target="https://www.cuny.edu/academics/faculty-affairs/faculty-hub/cuny-innovative-teaching-academy/building-bridges-of-knowledge-bbk/" TargetMode="External"/><Relationship Id="rId22" Type="http://schemas.openxmlformats.org/officeDocument/2006/relationships/hyperlink" Target="https://etc.cuit.columbia.edu/news/best-practices-responsible-ai-use" TargetMode="External"/><Relationship Id="rId21" Type="http://schemas.openxmlformats.org/officeDocument/2006/relationships/hyperlink" Target="https://provost.columbia.edu/content/generative-ai" TargetMode="External"/><Relationship Id="rId24" Type="http://schemas.openxmlformats.org/officeDocument/2006/relationships/hyperlink" Target="https://www.cuit.columbia.edu/sites/www.cuit.columbia.edu/files/content/CUIT%20Website%20Pages/AI%20Framework%20%20(1).pdf" TargetMode="External"/><Relationship Id="rId23" Type="http://schemas.openxmlformats.org/officeDocument/2006/relationships/hyperlink" Target="https://ctl.columbia.edu/resources-and-technology/resources/academic-integrity/" TargetMode="External"/><Relationship Id="rId26" Type="http://schemas.openxmlformats.org/officeDocument/2006/relationships/hyperlink" Target="https://steinhardt.nyu.edu/faculty-and-staff/academic-affairs/steinhardt-ai-hub/academic-integrity-and-syllabus-support-age" TargetMode="External"/><Relationship Id="rId25" Type="http://schemas.openxmlformats.org/officeDocument/2006/relationships/hyperlink" Target="https://www.cuit.columbia.edu/content/ai-services" TargetMode="External"/><Relationship Id="rId28" Type="http://schemas.openxmlformats.org/officeDocument/2006/relationships/hyperlink" Target="https://tisch.nyu.edu/faculty/academic-integ" TargetMode="External"/><Relationship Id="rId27" Type="http://schemas.openxmlformats.org/officeDocument/2006/relationships/hyperlink" Target="https://cas.nyu.edu/ewp/about/statement-on-generative-ai.html" TargetMode="External"/><Relationship Id="rId29" Type="http://schemas.openxmlformats.org/officeDocument/2006/relationships/hyperlink" Target="https://wp.nyu.edu/fas-edtech/2024/01/generative-ai-updates-live-syllabus-and-faculty-development-resources/" TargetMode="External"/><Relationship Id="rId95" Type="http://schemas.openxmlformats.org/officeDocument/2006/relationships/hyperlink" Target="https://www.polyu.edu.hk/comp/docdrive/tpg/subject/COMP5571.pdf" TargetMode="External"/><Relationship Id="rId94" Type="http://schemas.openxmlformats.org/officeDocument/2006/relationships/hyperlink" Target="https://www.polyu.edu.hk/mm/-/media/department/mm/content/study/subject-syllabi_tpg/mm6452.pdf" TargetMode="External"/><Relationship Id="rId97" Type="http://schemas.openxmlformats.org/officeDocument/2006/relationships/hyperlink" Target="https://www.ln.edu.hk/tlc/f/page/107180/Best%20Practices%20for%20Ethicial%20and%20Responsibilities%20Use%20of%20GAI%20%28Aug%202025%29.pdf" TargetMode="External"/><Relationship Id="rId96" Type="http://schemas.openxmlformats.org/officeDocument/2006/relationships/hyperlink" Target="https://www.ln.edu.hk/tlc/f/page/107180/Guidelines%20for%20Using%20GAI%20Tools%20%28Oct%202024%29.pdf" TargetMode="External"/><Relationship Id="rId11" Type="http://schemas.openxmlformats.org/officeDocument/2006/relationships/hyperlink" Target="https://www.nyu.edu/life/information-technology/artificial-intelligence-at-nyu/primer.html" TargetMode="External"/><Relationship Id="rId99" Type="http://schemas.openxmlformats.org/officeDocument/2006/relationships/hyperlink" Target="https://www.ln.edu.hk/tlc/generative-artificial-intelligence" TargetMode="External"/><Relationship Id="rId10" Type="http://schemas.openxmlformats.org/officeDocument/2006/relationships/hyperlink" Target="https://www.schools.nyc.gov/about-us/vision-and-mission/artificial-intelligence/guidance-on-artificial-intelligence-full" TargetMode="External"/><Relationship Id="rId98" Type="http://schemas.openxmlformats.org/officeDocument/2006/relationships/hyperlink" Target="https://www.ln.edu.hk/tlc/f/page/107180/Use%20of%20Generative%20Artificial%20Intelligence%20%28GAI%29%20Tools%20Term%201%202024-25.pdf" TargetMode="External"/><Relationship Id="rId13" Type="http://schemas.openxmlformats.org/officeDocument/2006/relationships/hyperlink" Target="https://www.nyu.edu/faculty/teaching-and-learning-resources/teaching-with-generative-tools/adapting-assignments-to-generative-AI.html" TargetMode="External"/><Relationship Id="rId12" Type="http://schemas.openxmlformats.org/officeDocument/2006/relationships/hyperlink" Target="https://www.nyu.edu/faculty/teaching-and-learning-resources/Student-Learning-with-Generative-AI.html" TargetMode="External"/><Relationship Id="rId91" Type="http://schemas.openxmlformats.org/officeDocument/2006/relationships/hyperlink" Target="https://www.polyu.edu.hk/bre/docdrive/32111-32112-32113_BRE_AY24-25.pdf" TargetMode="External"/><Relationship Id="rId90" Type="http://schemas.openxmlformats.org/officeDocument/2006/relationships/hyperlink" Target="https://www.polyu.edu.hk/engl/experience-and-opportunities/generative-ai/inappropriate-usage-and-limitations/" TargetMode="External"/><Relationship Id="rId93" Type="http://schemas.openxmlformats.org/officeDocument/2006/relationships/hyperlink" Target="https://www.polyu.edu.hk/engl/-/media/department/engl/content/study/full-subject-list/level-5-subjects/engl5037_20241_v062024.pdf?rev=4b025a9c057a4610ae7412df21ff9f4c&amp;hash=8D2390F6F57D0EBFBD4658D32FC64610" TargetMode="External"/><Relationship Id="rId92" Type="http://schemas.openxmlformats.org/officeDocument/2006/relationships/hyperlink" Target="https://www.polyu.edu.hk/bre/docdrive/32111-32112-32113_BRE_AY24-25.pdf" TargetMode="External"/><Relationship Id="rId15" Type="http://schemas.openxmlformats.org/officeDocument/2006/relationships/hyperlink" Target="https://www.nyu.edu/life/information-technology/artificial-intelligence-at-nyu/coe.html" TargetMode="External"/><Relationship Id="rId110" Type="http://schemas.openxmlformats.org/officeDocument/2006/relationships/hyperlink" Target="https://www.ln.edu.hk/dos/f/upload/109663/CCC8013%20The%20Process%20of%20Science%20-%20Revised%20Syllabus%20%20Rubrics_20240807.pdf" TargetMode="External"/><Relationship Id="rId14" Type="http://schemas.openxmlformats.org/officeDocument/2006/relationships/hyperlink" Target="https://www.nyu.edu/faculty/teaching-and-learning-resources/teaching-with-generative-tools/frequently-asked-questions.html" TargetMode="External"/><Relationship Id="rId17" Type="http://schemas.openxmlformats.org/officeDocument/2006/relationships/hyperlink" Target="https://aitoolkit.commons.gc.cuny.edu/" TargetMode="External"/><Relationship Id="rId16" Type="http://schemas.openxmlformats.org/officeDocument/2006/relationships/hyperlink" Target="https://www.cuny.edu/academics/ai-academic-hub/" TargetMode="External"/><Relationship Id="rId19" Type="http://schemas.openxmlformats.org/officeDocument/2006/relationships/hyperlink" Target="https://www.ccny.cuny.edu/tlc/making-your-course-available?srsltid=AfmBOoojIHHL2OxDCdrK-0Xc9elMyrAnNWVcOtEzwybtMdTvH4Pbcfy-" TargetMode="External"/><Relationship Id="rId18" Type="http://schemas.openxmlformats.org/officeDocument/2006/relationships/hyperlink" Target="https://www.cuny.edu/about/administration/offices/legal-affairs/policies-resources/academic-integrity-policy/" TargetMode="External"/><Relationship Id="rId111" Type="http://schemas.openxmlformats.org/officeDocument/2006/relationships/drawing" Target="../drawings/drawing7.xml"/><Relationship Id="rId84" Type="http://schemas.openxmlformats.org/officeDocument/2006/relationships/hyperlink" Target="https://www.polyu.edu.hk/ar/docdrive/polyu-students/student-handbook/Student_Handbook_2025-26_English.pdf" TargetMode="External"/><Relationship Id="rId83" Type="http://schemas.openxmlformats.org/officeDocument/2006/relationships/hyperlink" Target="https://www.polyu.edu.hk/edc/-/media/department/edc/content/explore-a-topic/academic-integrity/expanded-honour-declaration-forms_june-2024.pdf?la=en&amp;hash=EBAD20FDCE2877034F7943181F8793AC" TargetMode="External"/><Relationship Id="rId86" Type="http://schemas.openxmlformats.org/officeDocument/2006/relationships/hyperlink" Target="https://www.polyu.edu.hk/sd/research/research-integrity/" TargetMode="External"/><Relationship Id="rId85" Type="http://schemas.openxmlformats.org/officeDocument/2006/relationships/hyperlink" Target="https://www.polyu.edu.hk/ar/students-in-taught-programmes/notices-to-students/2025/2025-09-26_must-read-for-success-in-your-study/" TargetMode="External"/><Relationship Id="rId88" Type="http://schemas.openxmlformats.org/officeDocument/2006/relationships/hyperlink" Target="https://www.polyu.edu.hk/elc/docdrive/genai_at_elc/Using_AI_to_improve_your_Language_Skills_Teacher_Version.pdf" TargetMode="External"/><Relationship Id="rId87" Type="http://schemas.openxmlformats.org/officeDocument/2006/relationships/hyperlink" Target="https://www.polyu.edu.hk/elc/genai/" TargetMode="External"/><Relationship Id="rId89" Type="http://schemas.openxmlformats.org/officeDocument/2006/relationships/hyperlink" Target="https://www.polyu.edu.hk/sd/-/media/department/sd/content/research-2/research-integrity/generative-ai-use-guideline--design-research-integrity202509.pdf" TargetMode="External"/><Relationship Id="rId80" Type="http://schemas.openxmlformats.org/officeDocument/2006/relationships/hyperlink" Target="https://bpyloo.hku.hk/wp-content/uploads/2025/09/GEOG3422-Course-Outline-01Sep2025.pdf" TargetMode="External"/><Relationship Id="rId82" Type="http://schemas.openxmlformats.org/officeDocument/2006/relationships/hyperlink" Target="https://www.polyu.edu.hk/edc/explore-a-topic/generative-ai/" TargetMode="External"/><Relationship Id="rId81" Type="http://schemas.openxmlformats.org/officeDocument/2006/relationships/hyperlink" Target="https://www.polyu.edu.hk/ar/docdrive/polyu-students/Student-guide-on-the-use-of-GenAI-revised-260105.pdf" TargetMode="External"/><Relationship Id="rId1" Type="http://schemas.openxmlformats.org/officeDocument/2006/relationships/hyperlink" Target="https://www.whitehouse.gov/wp-content/uploads/2026/03/03.20.26-National-Policy-Framework-for-Artificial-Intelligence-Legislative-Recommendations.pdf" TargetMode="External"/><Relationship Id="rId2" Type="http://schemas.openxmlformats.org/officeDocument/2006/relationships/hyperlink" Target="https://www.whitehouse.gov/presidential-actions/2025/12/eliminating-state-law-obstruction-of-national-artificial-intelligence-policy/" TargetMode="External"/><Relationship Id="rId3" Type="http://schemas.openxmlformats.org/officeDocument/2006/relationships/hyperlink" Target="https://www.acus.gov/sites/default/files/documents/ACUS_Policy_on_Use_of_GenAI-20251210.pdf" TargetMode="External"/><Relationship Id="rId4" Type="http://schemas.openxmlformats.org/officeDocument/2006/relationships/hyperlink" Target="https://www.whitehouse.gov/presidential-actions/2025/04/advancing-artificial-intelligence-education-for-american-youth/" TargetMode="External"/><Relationship Id="rId9" Type="http://schemas.openxmlformats.org/officeDocument/2006/relationships/hyperlink" Target="https://www.nyc.gov/assets/oti/downloads/pdf/AI-Action-Plan-Progress-Report-Year-2.pdf" TargetMode="External"/><Relationship Id="rId5" Type="http://schemas.openxmlformats.org/officeDocument/2006/relationships/hyperlink" Target="https://www.whitehouse.gov/presidential-actions/2025/12/eliminating-state-law-obstruction-of-national-artificial-intelligence-policy/" TargetMode="External"/><Relationship Id="rId6" Type="http://schemas.openxmlformats.org/officeDocument/2006/relationships/hyperlink" Target="https://www.nyc.gov/assets/oti/downloads/pdf/New-York-City-Generative-AI-Use-Guidance.pdf" TargetMode="External"/><Relationship Id="rId7" Type="http://schemas.openxmlformats.org/officeDocument/2006/relationships/hyperlink" Target="https://www.nyc.gov/assets/oti/downloads/pdf/about/preliminary-use-guidance-general-artificial-intelligence.pdf" TargetMode="External"/><Relationship Id="rId8" Type="http://schemas.openxmlformats.org/officeDocument/2006/relationships/hyperlink" Target="https://www.nyc.gov/assets/oti/downloads/pdf/reports/artificial-intelligence-action-plan.pdf" TargetMode="External"/><Relationship Id="rId73" Type="http://schemas.openxmlformats.org/officeDocument/2006/relationships/hyperlink" Target="https://innowings.engg.hku.hk/innowing1/aiguide/" TargetMode="External"/><Relationship Id="rId72" Type="http://schemas.openxmlformats.org/officeDocument/2006/relationships/hyperlink" Target="https://hkuspace.hku.hk/news/detail/hku-policy-on-use-of-generative-artificial-intelligence-for-teaching-and-learning" TargetMode="External"/><Relationship Id="rId75" Type="http://schemas.openxmlformats.org/officeDocument/2006/relationships/hyperlink" Target="https://www.med.hku.hk/en/teaching-and-learning/edtech/resource-hub" TargetMode="External"/><Relationship Id="rId74" Type="http://schemas.openxmlformats.org/officeDocument/2006/relationships/hyperlink" Target="https://english.hku.hk/General_Information/Plagiarism_Warning_and_Guidelines_on_Use_of_GenAI" TargetMode="External"/><Relationship Id="rId77" Type="http://schemas.openxmlformats.org/officeDocument/2006/relationships/hyperlink" Target="https://psychology.hku.hk/wp-content/programmes/MSocScPsy/CourseOutlines/7319.pdf" TargetMode="External"/><Relationship Id="rId76" Type="http://schemas.openxmlformats.org/officeDocument/2006/relationships/hyperlink" Target="https://summerinstitute.hku.hk/storage/media/Temp%20Files/2026_Course%20Outline/20251223_ICSS2026_Course%20Syllabus_2026-2" TargetMode="External"/><Relationship Id="rId79" Type="http://schemas.openxmlformats.org/officeDocument/2006/relationships/hyperlink" Target="https://foa-media.arch.hku.hk/media/upload/2025/10/UPAD7001_Reseach_Design_Seminar_Series_Course-Outline_2025-2026_10Sep.pdf" TargetMode="External"/><Relationship Id="rId78" Type="http://schemas.openxmlformats.org/officeDocument/2006/relationships/hyperlink" Target="https://psychology.hku.hk/wp-content/programmes/MSocScPsy/CourseOutlines/7315.pdf" TargetMode="External"/><Relationship Id="rId71" Type="http://schemas.openxmlformats.org/officeDocument/2006/relationships/hyperlink" Target="https://gradsch.hku.hk/news_and_events/newsletter/using-genai-responsibly-your-research-quick-guide-rpg-students" TargetMode="External"/><Relationship Id="rId70" Type="http://schemas.openxmlformats.org/officeDocument/2006/relationships/hyperlink" Target="https://commoncore.hku.hk/wp-content/uploads/documents/Guidebook%20-%20GenAI%20in%20Teaching%20and%20Learning.pdf" TargetMode="External"/><Relationship Id="rId62" Type="http://schemas.openxmlformats.org/officeDocument/2006/relationships/hyperlink" Target="https://www.edb.gov.hk/en/about-edb/legco/policy-address/2024_Panel_on_Education_Eng.pdf" TargetMode="External"/><Relationship Id="rId61" Type="http://schemas.openxmlformats.org/officeDocument/2006/relationships/hyperlink" Target="https://www.policyaddress.gov.hk/2025/public/pdf/supplement/supplement-full_en.pdf" TargetMode="External"/><Relationship Id="rId64" Type="http://schemas.openxmlformats.org/officeDocument/2006/relationships/hyperlink" Target="https://www.digitalpolicy.gov.hk/en/our_work/data_governance/policies_standards/ethical_ai_framework/doc/Ethical_AI_Framework_en.pdf" TargetMode="External"/><Relationship Id="rId63" Type="http://schemas.openxmlformats.org/officeDocument/2006/relationships/hyperlink" Target="https://www.digitalpolicy.gov.hk/en/our_work/data_governance/policies_standards/ethical_ai_framework/doc/HK_Generative_AI_Technical_and_Application_Guideline_en.pdf" TargetMode="External"/><Relationship Id="rId66" Type="http://schemas.openxmlformats.org/officeDocument/2006/relationships/hyperlink" Target="https://talic.hku.hk/innovation/ai-ethics/core-principles/" TargetMode="External"/><Relationship Id="rId65" Type="http://schemas.openxmlformats.org/officeDocument/2006/relationships/hyperlink" Target="https://www.ugc.edu.hk/eng/ugc/activity/teach_learn/fite.html" TargetMode="External"/><Relationship Id="rId68" Type="http://schemas.openxmlformats.org/officeDocument/2006/relationships/hyperlink" Target="https://www.rss.hku.hk/research-integrity/GenAI-research-guidelines.pdf" TargetMode="External"/><Relationship Id="rId67" Type="http://schemas.openxmlformats.org/officeDocument/2006/relationships/hyperlink" Target="https://aied.talic.hku.hk/aipolicy/" TargetMode="External"/><Relationship Id="rId60" Type="http://schemas.openxmlformats.org/officeDocument/2006/relationships/hyperlink" Target="https://hk.ocmfa.gov.cn/eng/xjpzxzywshd/202507/t20250729_11679232.htm" TargetMode="External"/><Relationship Id="rId69" Type="http://schemas.openxmlformats.org/officeDocument/2006/relationships/hyperlink" Target="https://www.rss.hku.hk/integrity/generative-ai" TargetMode="External"/><Relationship Id="rId51" Type="http://schemas.openxmlformats.org/officeDocument/2006/relationships/hyperlink" Target="https://psychology.columbia.edu/sites/psychology.columbia.edu/files/content/PSYC%203620%20Syllabus%20Fall2024.pdf" TargetMode="External"/><Relationship Id="rId50" Type="http://schemas.openxmlformats.org/officeDocument/2006/relationships/hyperlink" Target="https://academicworks.cuny.edu/cgi/viewcontent.cgi?article=1129&amp;context=bb_oers" TargetMode="External"/><Relationship Id="rId53" Type="http://schemas.openxmlformats.org/officeDocument/2006/relationships/hyperlink" Target="https://psychology.columbia.edu/sites/psychology.columbia.edu/files/content/Syllabus%20Psychobiology%20of%20Stress%20FA24.pdf" TargetMode="External"/><Relationship Id="rId52" Type="http://schemas.openxmlformats.org/officeDocument/2006/relationships/hyperlink" Target="https://www.cs.columbia.edu/~josh/cs-theory/" TargetMode="External"/><Relationship Id="rId55" Type="http://schemas.openxmlformats.org/officeDocument/2006/relationships/hyperlink" Target="https://www.cs.columbia.edu/~johnhew/coms4705/index.html" TargetMode="External"/><Relationship Id="rId54" Type="http://schemas.openxmlformats.org/officeDocument/2006/relationships/hyperlink" Target="https://psychology.columbia.edu/sites/psychology.columbia.edu/files/content/UN2235%20Syllabus%20for%20Spring%202024%20KFG.pdf" TargetMode="External"/><Relationship Id="rId57" Type="http://schemas.openxmlformats.org/officeDocument/2006/relationships/hyperlink" Target="http://en.moe.gov.cn/news/press_releases/202601/t20260120_1427027.html" TargetMode="External"/><Relationship Id="rId56" Type="http://schemas.openxmlformats.org/officeDocument/2006/relationships/hyperlink" Target="http://en.moe.gov.cn/news/press_releases/202604/t20260406_1432962.html" TargetMode="External"/><Relationship Id="rId59" Type="http://schemas.openxmlformats.org/officeDocument/2006/relationships/hyperlink" Target="https://www.mee.gov.cn/zcwj/gwywj/202508/t20250827_1126207.shtml" TargetMode="External"/><Relationship Id="rId58" Type="http://schemas.openxmlformats.org/officeDocument/2006/relationships/hyperlink" Target="https://www.nda.gov.cn/sjj/zwgk/zcfb/0413/20260410162428109058250_pc.html" TargetMode="Externa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file/d/1esHl6KH7WElMt3sCCwC0zBQ93M8H3gW8/view?usp=sharing" TargetMode="External"/><Relationship Id="rId41" Type="http://schemas.openxmlformats.org/officeDocument/2006/relationships/drawing" Target="../drawings/drawing9.xml"/><Relationship Id="rId31" Type="http://schemas.openxmlformats.org/officeDocument/2006/relationships/hyperlink" Target="https://drive.google.com/file/d/1MNCsBz2uAPqu6CfCym6UAzLgOE_mt47x/view?usp=sharing" TargetMode="External"/><Relationship Id="rId30" Type="http://schemas.openxmlformats.org/officeDocument/2006/relationships/hyperlink" Target="https://drive.google.com/file/d/1rCXATLdYAIkYGa7BfhNw8gK1J9KtoEeq/view?usp=sharing" TargetMode="External"/><Relationship Id="rId33" Type="http://schemas.openxmlformats.org/officeDocument/2006/relationships/hyperlink" Target="https://drive.google.com/file/d/1cfz6TQcy3Ua43b0jjV85q_c2fT_zrwo6/view?usp=sharing" TargetMode="External"/><Relationship Id="rId32" Type="http://schemas.openxmlformats.org/officeDocument/2006/relationships/hyperlink" Target="https://drive.google.com/file/d/1G9YbiEIGx_-W9hOKhYqNXA22gHe7CbDQ/view?usp=sharing" TargetMode="External"/><Relationship Id="rId35" Type="http://schemas.openxmlformats.org/officeDocument/2006/relationships/hyperlink" Target="https://drive.google.com/file/d/1H2_k9EldtHx3DfqNfL7GlEcHRS46K4Oa/view?usp=sharing" TargetMode="External"/><Relationship Id="rId34" Type="http://schemas.openxmlformats.org/officeDocument/2006/relationships/hyperlink" Target="https://drive.google.com/file/d/1cfz6TQcy3Ua43b0jjV85q_c2fT_zrwo6/view?usp=sharing" TargetMode="External"/><Relationship Id="rId37" Type="http://schemas.openxmlformats.org/officeDocument/2006/relationships/hyperlink" Target="https://drive.google.com/file/d/1C5ZT1HLe7_EAttKjUuOHjaJ0TWJzAmIn/view?usp=sharing" TargetMode="External"/><Relationship Id="rId36" Type="http://schemas.openxmlformats.org/officeDocument/2006/relationships/hyperlink" Target="https://drive.google.com/file/d/1puXJUa7CNm-omwvFfPxacqJwc_m5GFHM/view?usp=sharing" TargetMode="External"/><Relationship Id="rId39" Type="http://schemas.openxmlformats.org/officeDocument/2006/relationships/hyperlink" Target="https://drive.google.com/file/d/1TgfycwxRcyBXLKvlxRa1Pk8Qmfti5pHC/view?usp=sharing" TargetMode="External"/><Relationship Id="rId38" Type="http://schemas.openxmlformats.org/officeDocument/2006/relationships/hyperlink" Target="https://drive.google.com/file/d/1Cs1MNdWi1nsUGhMgU5eu2fjJxFt59fyH/view?usp=sharing" TargetMode="External"/><Relationship Id="rId20" Type="http://schemas.openxmlformats.org/officeDocument/2006/relationships/hyperlink" Target="https://www.ccny.cuny.edu/tlc/making-your-course-available?srsltid=AfmBOoojIHHL2OxDCdrK-0Xc9elMyrAnNWVcOtEzwybtMdTvH4Pbcfy-" TargetMode="External"/><Relationship Id="rId22" Type="http://schemas.openxmlformats.org/officeDocument/2006/relationships/hyperlink" Target="https://www.qc.cuny.edu/cetll/wp-content/uploads/sites/138/2026/03/Generative-AI-in-the-Classroom-Best-Practices-a-CETLL-Guide_ACCESSIBLE_3.19.pdf" TargetMode="External"/><Relationship Id="rId21" Type="http://schemas.openxmlformats.org/officeDocument/2006/relationships/hyperlink" Target="https://www.hunter.cuny.edu/center-for-digital-learning-and-innovative-pedagogy/online-learning-resources/academic-integrity-policy/" TargetMode="External"/><Relationship Id="rId24" Type="http://schemas.openxmlformats.org/officeDocument/2006/relationships/hyperlink" Target="https://drive.google.com/file/d/1vpIMImBkHjO0WdQkfwMHJMqalNfzMFfF/view?usp=sharing" TargetMode="External"/><Relationship Id="rId23" Type="http://schemas.openxmlformats.org/officeDocument/2006/relationships/hyperlink" Target="https://www.tc.columbia.edu/digitalfuturesinstitute/ai-in-education/recommendations-for-generative-ai-use-at-tc/" TargetMode="External"/><Relationship Id="rId26" Type="http://schemas.openxmlformats.org/officeDocument/2006/relationships/hyperlink" Target="https://drive.google.com/file/d/1x6Rabj9fJIWJuqoQlKB-99D3JlQtcR-j/view?usp=sharing" TargetMode="External"/><Relationship Id="rId25" Type="http://schemas.openxmlformats.org/officeDocument/2006/relationships/hyperlink" Target="https://drive.google.com/file/d/13oVL6N7r7vYB1KfdVERnnLsAXYAWaAiJ/view?usp=sharing" TargetMode="External"/><Relationship Id="rId28" Type="http://schemas.openxmlformats.org/officeDocument/2006/relationships/hyperlink" Target="https://drive.google.com/file/d/1l68uHLZyJdyVSyuizCnMc1JB86LshQiv/view?usp=sharing" TargetMode="External"/><Relationship Id="rId27" Type="http://schemas.openxmlformats.org/officeDocument/2006/relationships/hyperlink" Target="https://drive.google.com/file/d/1j3LCk46bRAsnaDwmTgqMfNXWPCMCiXkt/view?usp=sharing" TargetMode="External"/><Relationship Id="rId29" Type="http://schemas.openxmlformats.org/officeDocument/2006/relationships/hyperlink" Target="https://drive.google.com/file/d/1G-p2U2a_xoDn2UYY1Kf3AJdZFHKhWhbB/view?usp=sharing" TargetMode="External"/><Relationship Id="rId11" Type="http://schemas.openxmlformats.org/officeDocument/2006/relationships/hyperlink" Target="https://etc.cuit.columbia.edu/news/best-practices-responsible-ai-use" TargetMode="External"/><Relationship Id="rId10" Type="http://schemas.openxmlformats.org/officeDocument/2006/relationships/hyperlink" Target="https://provost.columbia.edu/content/office-senior-vice-provost/ai-policy" TargetMode="External"/><Relationship Id="rId13" Type="http://schemas.openxmlformats.org/officeDocument/2006/relationships/hyperlink" Target="https://steinhardt.nyu.edu/faculty-and-staff/academic-affairs/steinhardt-ai-hub/academic-integrity-and-syllabus-support-age" TargetMode="External"/><Relationship Id="rId12" Type="http://schemas.openxmlformats.org/officeDocument/2006/relationships/hyperlink" Target="https://www.nyu.edu/faculty/teaching-and-learning-resources/teaching-with-generative-tools/frequently-asked-questions.html" TargetMode="External"/><Relationship Id="rId15" Type="http://schemas.openxmlformats.org/officeDocument/2006/relationships/hyperlink" Target="https://tisch.nyu.edu/faculty/academic-integ" TargetMode="External"/><Relationship Id="rId14" Type="http://schemas.openxmlformats.org/officeDocument/2006/relationships/hyperlink" Target="https://sites.google.com/stern.nyu.edu/teaching-learning-gen-ai/home" TargetMode="External"/><Relationship Id="rId17" Type="http://schemas.openxmlformats.org/officeDocument/2006/relationships/hyperlink" Target="https://www.cuny.edu/academics/ai-academic-hub/" TargetMode="External"/><Relationship Id="rId16" Type="http://schemas.openxmlformats.org/officeDocument/2006/relationships/hyperlink" Target="https://docs.google.com/document/d/1CbWKCBCMuO1kJlsK-ukD5lXGVuKuSzq8H8MFAQVvdDM/edit?usp=sharing" TargetMode="External"/><Relationship Id="rId19" Type="http://schemas.openxmlformats.org/officeDocument/2006/relationships/hyperlink" Target="https://www.kbcc.cuny.edu/studentaffairs/student_conduct/academic_integrity.html" TargetMode="External"/><Relationship Id="rId18" Type="http://schemas.openxmlformats.org/officeDocument/2006/relationships/hyperlink" Target="https://provost.baruch.cuny.edu/artificial-intelligence-think-tank/ai-use-guidance/" TargetMode="External"/><Relationship Id="rId1" Type="http://schemas.openxmlformats.org/officeDocument/2006/relationships/hyperlink" Target="https://www.whitehouse.gov/wp-content/uploads/2025/02/M-25-21-Accelerating-Federal-Use-of-AI-through-Innovation-Governance-and-Public-Trust.pdf" TargetMode="External"/><Relationship Id="rId2" Type="http://schemas.openxmlformats.org/officeDocument/2006/relationships/hyperlink" Target="https://www.ed.gov/media/document/opepd-ai-dear-colleague-letter-7222025-110427.pdf" TargetMode="External"/><Relationship Id="rId3" Type="http://schemas.openxmlformats.org/officeDocument/2006/relationships/hyperlink" Target="https://www.whitehouse.gov/presidential-actions/2025/01/removing-barriers-to-american-leadership-in-artificial-intelligence/" TargetMode="External"/><Relationship Id="rId4" Type="http://schemas.openxmlformats.org/officeDocument/2006/relationships/hyperlink" Target="https://www.ed.gov/sites/ed/files/documents/ai-report/ai-report.pdf" TargetMode="External"/><Relationship Id="rId9" Type="http://schemas.openxmlformats.org/officeDocument/2006/relationships/hyperlink" Target="https://its.ny.gov/system/files/documents/2026/01/nys-p24-001-acceptable-use-of-ai.pdf" TargetMode="External"/><Relationship Id="rId5" Type="http://schemas.openxmlformats.org/officeDocument/2006/relationships/hyperlink" Target="https://doi.org/10.6028/NIST.AI.600-1" TargetMode="External"/><Relationship Id="rId6" Type="http://schemas.openxmlformats.org/officeDocument/2006/relationships/hyperlink" Target="https://www.osc.ny.gov/state-agencies/audits/2025/04/03/new-york-state-artificial-intelligence-governance?utm_source=chatgpt.com" TargetMode="External"/><Relationship Id="rId7" Type="http://schemas.openxmlformats.org/officeDocument/2006/relationships/hyperlink" Target="https://www.nyc.gov/assets/oti/downloads/pdf/NYC-OTI_Guidance_AI-Public-Participation-and-Engagement.pdf" TargetMode="External"/><Relationship Id="rId8" Type="http://schemas.openxmlformats.org/officeDocument/2006/relationships/hyperlink" Target="https://www.nyc.gov/assets/oti/downloads/pdf/New-York-City-Generative-AI-Use-Guidance.pdf" TargetMode="Externa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polyu.edu.hk/cus/student/4-year-undergraduate-student/general-university-requirements/for-students-who-admitted-from-2022-23/artificial-intelligence-and-data-analytics-requirement/" TargetMode="External"/><Relationship Id="rId42" Type="http://schemas.openxmlformats.org/officeDocument/2006/relationships/drawing" Target="../drawings/drawing11.xml"/><Relationship Id="rId41" Type="http://schemas.openxmlformats.org/officeDocument/2006/relationships/hyperlink" Target="https://www.polyu.edu.hk/engl/experience-and-opportunities/generative-ai/inappropriate-usage-and-limitations/" TargetMode="External"/><Relationship Id="rId31" Type="http://schemas.openxmlformats.org/officeDocument/2006/relationships/hyperlink" Target="https://www.polyu.edu.hk/its/it-services/polyu-genai/" TargetMode="External"/><Relationship Id="rId30" Type="http://schemas.openxmlformats.org/officeDocument/2006/relationships/hyperlink" Target="https://www.ln.edu.hk/reg/undergraduate-programmes/core-curriculum" TargetMode="External"/><Relationship Id="rId33" Type="http://schemas.openxmlformats.org/officeDocument/2006/relationships/hyperlink" Target="https://www.polyu.edu.hk/sd/-/media/department/sd/content/research-2/research-integrity/generative-ai-use-guideline--design-research-integrity202509.pdf" TargetMode="External"/><Relationship Id="rId32" Type="http://schemas.openxmlformats.org/officeDocument/2006/relationships/hyperlink" Target="https://www.polyu.edu.hk/ar/docdrive/polyu-students/Student-guide-on-the-use-of-GenAI-revised-260105.pdf" TargetMode="External"/><Relationship Id="rId35" Type="http://schemas.openxmlformats.org/officeDocument/2006/relationships/hyperlink" Target="https://libguides.lb.polyu.edu.hk/genai-academic/ai-academic-integrity" TargetMode="External"/><Relationship Id="rId34" Type="http://schemas.openxmlformats.org/officeDocument/2006/relationships/hyperlink" Target="https://www.polyu.edu.hk/elc/docdrive/genai_at_elc/GenAI@ELC_Brainstorming_and_Researching_Ideas.pdf" TargetMode="External"/><Relationship Id="rId37" Type="http://schemas.openxmlformats.org/officeDocument/2006/relationships/hyperlink" Target="https://www.polyu.edu.hk/so/-/media/department/so/content/study/so2d01.pdf" TargetMode="External"/><Relationship Id="rId36" Type="http://schemas.openxmlformats.org/officeDocument/2006/relationships/hyperlink" Target="https://www.polyu.edu.hk/edc/explore-a-topic/generative-ai/" TargetMode="External"/><Relationship Id="rId39" Type="http://schemas.openxmlformats.org/officeDocument/2006/relationships/hyperlink" Target="https://www.cpce-polyu.edu.hk/docs/cpceacademicregistrycarlibraries/default-document-library/cpce_student_handbook.pdf" TargetMode="External"/><Relationship Id="rId38" Type="http://schemas.openxmlformats.org/officeDocument/2006/relationships/hyperlink" Target="https://www.polyu.edu.hk/edc/-/media/department/edc/content/explore-a-topic/generative-ai/fite-case-study---lydia.pdf" TargetMode="External"/><Relationship Id="rId20" Type="http://schemas.openxmlformats.org/officeDocument/2006/relationships/hyperlink" Target="https://hkuspace.hku.hk/news/detail/hku-policy-on-use-of-generative-artificial-intelligence-for-teaching-and-learning" TargetMode="External"/><Relationship Id="rId22" Type="http://schemas.openxmlformats.org/officeDocument/2006/relationships/hyperlink" Target="https://www.ln.edu.hk/president/chatgpt/index.html" TargetMode="External"/><Relationship Id="rId21" Type="http://schemas.openxmlformats.org/officeDocument/2006/relationships/hyperlink" Target="https://talic.hku.hk/innovation/ai-cop/hub/teaching-and-learning-application/" TargetMode="External"/><Relationship Id="rId24" Type="http://schemas.openxmlformats.org/officeDocument/2006/relationships/hyperlink" Target="https://www.ln.edu.hk/tlc/f/page/107180/Guidelines%20for%20Using%20GAI%20Tools%20%28Oct%202024%29.pdf" TargetMode="External"/><Relationship Id="rId23" Type="http://schemas.openxmlformats.org/officeDocument/2006/relationships/hyperlink" Target="https://www.ln.edu.hk/itsc/services/teaching-learning-research-services/generative-ai-service" TargetMode="External"/><Relationship Id="rId26" Type="http://schemas.openxmlformats.org/officeDocument/2006/relationships/hyperlink" Target="https://www.ln.edu.hk/tran/f/page/116062/ai-usage-policy-for-ug-and-tpg-programmes.pdf" TargetMode="External"/><Relationship Id="rId25" Type="http://schemas.openxmlformats.org/officeDocument/2006/relationships/hyperlink" Target="https://www.ln.edu.hk/tlc/f/page/107180/Use%20of%20Generative%20Artificial%20Intelligence%20%28GAI%29%20Tools%20Term%201%202024-25.pdf" TargetMode="External"/><Relationship Id="rId28" Type="http://schemas.openxmlformats.org/officeDocument/2006/relationships/hyperlink" Target="https://www.ln.edu.hk/eng/f/page/104051/eng3009.pdf" TargetMode="External"/><Relationship Id="rId27" Type="http://schemas.openxmlformats.org/officeDocument/2006/relationships/hyperlink" Target="https://www.ln.edu.hk/eng/f/page/104051/ENG2101_AQAC_2024.pdf" TargetMode="External"/><Relationship Id="rId29" Type="http://schemas.openxmlformats.org/officeDocument/2006/relationships/hyperlink" Target="https://www.ln.edu.hk/sds/dai/ds/f/page/105561/CDS2002%20Introduction%20to%20Artificial%20Intelligence%20%28Required%29.190825.pdf" TargetMode="External"/><Relationship Id="rId11" Type="http://schemas.openxmlformats.org/officeDocument/2006/relationships/hyperlink" Target="https://tl.hku.hk/genai/hku-genai-services/" TargetMode="External"/><Relationship Id="rId10" Type="http://schemas.openxmlformats.org/officeDocument/2006/relationships/hyperlink" Target="https://aicop.hktea.hku.hk/about-us" TargetMode="External"/><Relationship Id="rId13" Type="http://schemas.openxmlformats.org/officeDocument/2006/relationships/hyperlink" Target="https://talic.hku.hk/innovation/ai-ethics/core-principles/" TargetMode="External"/><Relationship Id="rId12" Type="http://schemas.openxmlformats.org/officeDocument/2006/relationships/hyperlink" Target="https://libguides.lib.hku.hk/AI-literacy/Home" TargetMode="External"/><Relationship Id="rId15" Type="http://schemas.openxmlformats.org/officeDocument/2006/relationships/hyperlink" Target="https://researchintegrity.law.hku.hk/guidelines-on-the-responsible-use-of-generative-ai-in-research-at-the-university-of-hong-kong/" TargetMode="External"/><Relationship Id="rId14" Type="http://schemas.openxmlformats.org/officeDocument/2006/relationships/hyperlink" Target="https://aied.talic.hku.hk/aipolicy/" TargetMode="External"/><Relationship Id="rId17" Type="http://schemas.openxmlformats.org/officeDocument/2006/relationships/hyperlink" Target="https://ailt.cds.hku.hk/" TargetMode="External"/><Relationship Id="rId16" Type="http://schemas.openxmlformats.org/officeDocument/2006/relationships/hyperlink" Target="https://www.rss.hku.hk/integrity/generative-ai" TargetMode="External"/><Relationship Id="rId19" Type="http://schemas.openxmlformats.org/officeDocument/2006/relationships/hyperlink" Target="https://www4.hku.hk/pubunit/drcd/files/ugdr2025-26/Education/BEd&amp;BSc.pdf" TargetMode="External"/><Relationship Id="rId18" Type="http://schemas.openxmlformats.org/officeDocument/2006/relationships/hyperlink" Target="https://web.socsc.hku.hk/wp-content/uploads/2026/03/BJ_2025-26.pdf" TargetMode="External"/><Relationship Id="rId1" Type="http://schemas.openxmlformats.org/officeDocument/2006/relationships/hyperlink" Target="https://www.policyaddress.gov.hk/2021/eng/pdf/publications/14-5/14-5-full.pdf" TargetMode="External"/><Relationship Id="rId2" Type="http://schemas.openxmlformats.org/officeDocument/2006/relationships/hyperlink" Target="https://www.mee.gov.cn/zcwj/gwywj/202508/t20250827_1126207.shtml" TargetMode="External"/><Relationship Id="rId3" Type="http://schemas.openxmlformats.org/officeDocument/2006/relationships/hyperlink" Target="https://www.digitalpolicy.gov.hk/en/our_work/data_governance/policies_standards/ethical_ai_framework/doc/Ethical_AI_Framework_en.pdf" TargetMode="External"/><Relationship Id="rId4" Type="http://schemas.openxmlformats.org/officeDocument/2006/relationships/hyperlink" Target="https://www.digitalpolicy.gov.hk/en/our_work/data_governance/policies_standards/ethical_ai_framework/doc/HK_Generative_AI_Technical_and_Application_Guideline_en.pdf" TargetMode="External"/><Relationship Id="rId9" Type="http://schemas.openxmlformats.org/officeDocument/2006/relationships/hyperlink" Target="https://www.legco.gov.hk/yr2026/english/panels/ed/papers/ed20260127cb3-24-1-e.pdf" TargetMode="External"/><Relationship Id="rId5" Type="http://schemas.openxmlformats.org/officeDocument/2006/relationships/hyperlink" Target="https://www.itib.gov.hk/en/publications/I&amp;T%20Blueprint%20Book_EN_single_Digital.pdf" TargetMode="External"/><Relationship Id="rId6" Type="http://schemas.openxmlformats.org/officeDocument/2006/relationships/hyperlink" Target="https://www.ugc.edu.hk/eng/ugc/about/press_speech_other/press/2023/pr20230628.html" TargetMode="External"/><Relationship Id="rId7" Type="http://schemas.openxmlformats.org/officeDocument/2006/relationships/hyperlink" Target="http://news.gov.hk" TargetMode="External"/><Relationship Id="rId8" Type="http://schemas.openxmlformats.org/officeDocument/2006/relationships/hyperlink" Target="https://www.news.gov.hk/eng/2026/04/20260424/20260424_152830_500.html"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1" Type="http://schemas.openxmlformats.org/officeDocument/2006/relationships/drawing" Target="../drawings/drawing15.xml"/><Relationship Id="rId10" Type="http://schemas.openxmlformats.org/officeDocument/2006/relationships/hyperlink" Target="https://www.ugc.edu.hk/doc/eng/qac/report/lu202506e.pdf" TargetMode="External"/><Relationship Id="rId1" Type="http://schemas.openxmlformats.org/officeDocument/2006/relationships/hyperlink" Target="https://its.law.nyu.edu/faculty/coursepages/index.cfm?action=home.main&amp;semester=Fall%202025&amp;TermYear=2025-2026" TargetMode="External"/><Relationship Id="rId2" Type="http://schemas.openxmlformats.org/officeDocument/2006/relationships/hyperlink" Target="https://opened.cuny.edu/curated-collections/55?batch_start=440" TargetMode="External"/><Relationship Id="rId3" Type="http://schemas.openxmlformats.org/officeDocument/2006/relationships/hyperlink" Target="https://syllabusdb.com/" TargetMode="External"/><Relationship Id="rId4" Type="http://schemas.openxmlformats.org/officeDocument/2006/relationships/hyperlink" Target="https://www.aqs.cuhk.edu.hk/documents/A-guide-for-students_use-of-AI-tools.pdf" TargetMode="External"/><Relationship Id="rId9" Type="http://schemas.openxmlformats.org/officeDocument/2006/relationships/hyperlink" Target="https://www.ugc.edu.hk/doc/eng/qac/report/polyu202411e.pdf" TargetMode="External"/><Relationship Id="rId5" Type="http://schemas.openxmlformats.org/officeDocument/2006/relationships/hyperlink" Target="https://www.hkmu.edu.hk/REG/reg_comm/Guidelines%20for%20the%20Use%20of%20Generative%20AI_ENG.pdf" TargetMode="External"/><Relationship Id="rId6" Type="http://schemas.openxmlformats.org/officeDocument/2006/relationships/hyperlink" Target="https://ctl.hsu.edu.hk/generative-ai-in-teaching-and-learning/" TargetMode="External"/><Relationship Id="rId7" Type="http://schemas.openxmlformats.org/officeDocument/2006/relationships/hyperlink" Target="https://www.ugc.edu.hk/doc/eng/qac/manual/auditmanual.pdf" TargetMode="External"/><Relationship Id="rId8" Type="http://schemas.openxmlformats.org/officeDocument/2006/relationships/hyperlink" Target="https://www.ugc.edu.hk/doc/eng/qac/report/hku202409e.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2.0"/>
    <col customWidth="1" min="2" max="2" width="16.0"/>
    <col customWidth="1" min="3" max="3" width="12.0"/>
    <col customWidth="1" min="4" max="4" width="24.0"/>
    <col customWidth="1" min="5" max="5" width="11.29"/>
    <col customWidth="1" min="6" max="6" width="32.0"/>
    <col customWidth="1" min="7" max="7" width="18.0"/>
    <col customWidth="1" min="8" max="8" width="13.0"/>
    <col customWidth="1" min="9" max="9" width="28.0"/>
    <col customWidth="1" min="10" max="10" width="14.0"/>
    <col customWidth="1" min="11" max="11" width="15.0"/>
    <col customWidth="1" min="12" max="12" width="20.0"/>
    <col customWidth="1" min="13" max="14" width="18.0"/>
    <col customWidth="1" min="15" max="15" width="22.0"/>
    <col customWidth="1" min="16" max="16" width="20.0"/>
    <col customWidth="1" min="17" max="17" width="45.0"/>
    <col customWidth="1" min="18" max="18" width="28.0"/>
    <col customWidth="1" min="19" max="19" width="12.0"/>
    <col customWidth="1" min="20" max="20" width="13.0"/>
    <col customWidth="1" min="21" max="21" width="20.0"/>
    <col customWidth="1" min="22" max="27" width="8.71"/>
  </cols>
  <sheetData>
    <row r="1" ht="16.5" customHeight="1">
      <c r="A1" s="1" t="s">
        <v>0</v>
      </c>
    </row>
    <row r="2" ht="16.5" customHeight="1">
      <c r="A2" s="2"/>
    </row>
    <row r="3" ht="16.5" customHeight="1">
      <c r="A3" s="3"/>
      <c r="B3" s="4"/>
      <c r="C3" s="4"/>
      <c r="D3" s="4"/>
      <c r="E3" s="4"/>
      <c r="F3" s="4"/>
      <c r="G3" s="4"/>
      <c r="H3" s="4"/>
      <c r="I3" s="4"/>
      <c r="J3" s="4"/>
      <c r="K3" s="4"/>
      <c r="L3" s="4"/>
      <c r="M3" s="4"/>
      <c r="N3" s="4"/>
      <c r="O3" s="4"/>
      <c r="P3" s="4"/>
      <c r="Q3" s="4"/>
      <c r="R3" s="4"/>
      <c r="S3" s="4"/>
      <c r="T3" s="4"/>
      <c r="U3" s="5"/>
    </row>
    <row r="4" ht="37.5" customHeight="1">
      <c r="A4" s="6" t="s">
        <v>1</v>
      </c>
      <c r="B4" s="7" t="s">
        <v>2</v>
      </c>
      <c r="C4" s="7" t="s">
        <v>3</v>
      </c>
      <c r="D4" s="7" t="s">
        <v>4</v>
      </c>
      <c r="E4" s="7" t="s">
        <v>5</v>
      </c>
      <c r="F4" s="7" t="s">
        <v>6</v>
      </c>
      <c r="G4" s="7" t="s">
        <v>7</v>
      </c>
      <c r="H4" s="7" t="s">
        <v>8</v>
      </c>
      <c r="I4" s="7" t="s">
        <v>9</v>
      </c>
      <c r="J4" s="7" t="s">
        <v>10</v>
      </c>
      <c r="K4" s="7" t="s">
        <v>11</v>
      </c>
      <c r="L4" s="7" t="s">
        <v>12</v>
      </c>
      <c r="M4" s="7" t="s">
        <v>13</v>
      </c>
      <c r="N4" s="7" t="s">
        <v>14</v>
      </c>
      <c r="O4" s="7" t="s">
        <v>15</v>
      </c>
      <c r="P4" s="7" t="s">
        <v>16</v>
      </c>
      <c r="Q4" s="7" t="s">
        <v>17</v>
      </c>
      <c r="R4" s="7" t="s">
        <v>18</v>
      </c>
      <c r="S4" s="7" t="s">
        <v>19</v>
      </c>
      <c r="T4" s="7" t="s">
        <v>20</v>
      </c>
      <c r="U4" s="8" t="s">
        <v>21</v>
      </c>
    </row>
    <row r="5" ht="16.5" customHeight="1">
      <c r="A5" s="9" t="s">
        <v>22</v>
      </c>
      <c r="B5" s="10" t="s">
        <v>23</v>
      </c>
      <c r="C5" s="10" t="s">
        <v>24</v>
      </c>
      <c r="D5" s="10" t="s">
        <v>25</v>
      </c>
      <c r="E5" s="10"/>
      <c r="F5" s="10" t="s">
        <v>26</v>
      </c>
      <c r="G5" s="10" t="s">
        <v>27</v>
      </c>
      <c r="H5" s="11">
        <v>45750.0</v>
      </c>
      <c r="I5" s="12" t="s">
        <v>28</v>
      </c>
      <c r="J5" s="10" t="s">
        <v>29</v>
      </c>
      <c r="K5" s="10" t="s">
        <v>30</v>
      </c>
      <c r="L5" s="10" t="s">
        <v>31</v>
      </c>
      <c r="M5" s="10" t="s">
        <v>32</v>
      </c>
      <c r="N5" s="10" t="s">
        <v>33</v>
      </c>
      <c r="O5" s="10" t="s">
        <v>34</v>
      </c>
      <c r="P5" s="10" t="s">
        <v>35</v>
      </c>
      <c r="Q5" s="10" t="s">
        <v>36</v>
      </c>
      <c r="R5" s="10"/>
      <c r="S5" s="10" t="s">
        <v>37</v>
      </c>
      <c r="T5" s="13">
        <v>46141.0</v>
      </c>
    </row>
    <row r="6" ht="16.5" customHeight="1">
      <c r="A6" s="9" t="s">
        <v>38</v>
      </c>
      <c r="B6" s="10" t="s">
        <v>23</v>
      </c>
      <c r="C6" s="10" t="s">
        <v>24</v>
      </c>
      <c r="D6" s="10" t="s">
        <v>39</v>
      </c>
      <c r="E6" s="10"/>
      <c r="F6" s="10" t="s">
        <v>40</v>
      </c>
      <c r="G6" s="10" t="s">
        <v>27</v>
      </c>
      <c r="H6" s="11">
        <v>45860.0</v>
      </c>
      <c r="I6" s="12" t="s">
        <v>41</v>
      </c>
      <c r="J6" s="10" t="s">
        <v>42</v>
      </c>
      <c r="K6" s="10" t="s">
        <v>30</v>
      </c>
      <c r="L6" s="10" t="s">
        <v>43</v>
      </c>
      <c r="M6" s="10" t="s">
        <v>44</v>
      </c>
      <c r="N6" s="10" t="s">
        <v>45</v>
      </c>
      <c r="O6" s="10" t="s">
        <v>34</v>
      </c>
      <c r="P6" s="10" t="s">
        <v>46</v>
      </c>
      <c r="Q6" s="10" t="s">
        <v>47</v>
      </c>
      <c r="R6" s="10"/>
      <c r="S6" s="10" t="s">
        <v>37</v>
      </c>
      <c r="T6" s="13">
        <v>46141.0</v>
      </c>
    </row>
    <row r="7" ht="16.5" customHeight="1">
      <c r="A7" s="9" t="s">
        <v>48</v>
      </c>
      <c r="B7" s="10" t="s">
        <v>23</v>
      </c>
      <c r="C7" s="10" t="s">
        <v>24</v>
      </c>
      <c r="D7" s="10" t="s">
        <v>49</v>
      </c>
      <c r="E7" s="10"/>
      <c r="F7" s="10" t="s">
        <v>50</v>
      </c>
      <c r="G7" s="10" t="s">
        <v>51</v>
      </c>
      <c r="H7" s="11">
        <v>45680.0</v>
      </c>
      <c r="I7" s="12" t="s">
        <v>52</v>
      </c>
      <c r="J7" s="10" t="s">
        <v>42</v>
      </c>
      <c r="K7" s="10" t="s">
        <v>30</v>
      </c>
      <c r="L7" s="10" t="s">
        <v>31</v>
      </c>
      <c r="M7" s="10" t="s">
        <v>33</v>
      </c>
      <c r="N7" s="10" t="s">
        <v>45</v>
      </c>
      <c r="O7" s="10" t="s">
        <v>34</v>
      </c>
      <c r="P7" s="10" t="s">
        <v>35</v>
      </c>
      <c r="Q7" s="10" t="s">
        <v>53</v>
      </c>
      <c r="R7" s="10"/>
      <c r="S7" s="10" t="s">
        <v>37</v>
      </c>
      <c r="T7" s="13">
        <v>46137.0</v>
      </c>
    </row>
    <row r="8" ht="16.5" customHeight="1">
      <c r="A8" s="9" t="s">
        <v>54</v>
      </c>
      <c r="B8" s="10" t="s">
        <v>23</v>
      </c>
      <c r="C8" s="10" t="s">
        <v>24</v>
      </c>
      <c r="D8" s="10" t="s">
        <v>39</v>
      </c>
      <c r="E8" s="10"/>
      <c r="F8" s="10" t="s">
        <v>55</v>
      </c>
      <c r="G8" s="10" t="s">
        <v>27</v>
      </c>
      <c r="H8" s="11">
        <v>45047.0</v>
      </c>
      <c r="I8" s="12" t="s">
        <v>56</v>
      </c>
      <c r="J8" s="10" t="s">
        <v>57</v>
      </c>
      <c r="K8" s="10" t="s">
        <v>58</v>
      </c>
      <c r="L8" s="10" t="s">
        <v>30</v>
      </c>
      <c r="M8" s="10" t="s">
        <v>44</v>
      </c>
      <c r="N8" s="10" t="s">
        <v>59</v>
      </c>
      <c r="O8" s="10" t="s">
        <v>34</v>
      </c>
      <c r="P8" s="10" t="s">
        <v>35</v>
      </c>
      <c r="Q8" s="10" t="s">
        <v>60</v>
      </c>
      <c r="R8" s="10"/>
      <c r="S8" s="10" t="s">
        <v>37</v>
      </c>
      <c r="T8" s="13">
        <v>46137.0</v>
      </c>
    </row>
    <row r="9" ht="16.5" customHeight="1">
      <c r="A9" s="9" t="s">
        <v>61</v>
      </c>
      <c r="B9" s="10" t="s">
        <v>23</v>
      </c>
      <c r="C9" s="10" t="s">
        <v>24</v>
      </c>
      <c r="D9" s="10" t="s">
        <v>62</v>
      </c>
      <c r="E9" s="10"/>
      <c r="F9" s="10" t="s">
        <v>63</v>
      </c>
      <c r="G9" s="10" t="s">
        <v>27</v>
      </c>
      <c r="H9" s="11">
        <v>45499.0</v>
      </c>
      <c r="I9" s="12" t="s">
        <v>64</v>
      </c>
      <c r="J9" s="10" t="s">
        <v>57</v>
      </c>
      <c r="K9" s="10" t="s">
        <v>58</v>
      </c>
      <c r="L9" s="10" t="s">
        <v>30</v>
      </c>
      <c r="M9" s="10" t="s">
        <v>32</v>
      </c>
      <c r="N9" s="10" t="s">
        <v>45</v>
      </c>
      <c r="O9" s="10" t="s">
        <v>34</v>
      </c>
      <c r="P9" s="10" t="s">
        <v>35</v>
      </c>
      <c r="Q9" s="10" t="s">
        <v>65</v>
      </c>
      <c r="R9" s="10" t="s">
        <v>66</v>
      </c>
      <c r="S9" s="10" t="s">
        <v>37</v>
      </c>
      <c r="T9" s="13">
        <v>46137.0</v>
      </c>
    </row>
    <row r="10" ht="16.5" customHeight="1">
      <c r="A10" s="9" t="s">
        <v>67</v>
      </c>
      <c r="B10" s="10" t="s">
        <v>68</v>
      </c>
      <c r="C10" s="10" t="s">
        <v>24</v>
      </c>
      <c r="D10" s="10" t="s">
        <v>69</v>
      </c>
      <c r="E10" s="10"/>
      <c r="F10" s="10" t="s">
        <v>70</v>
      </c>
      <c r="G10" s="10" t="s">
        <v>71</v>
      </c>
      <c r="H10" s="11">
        <v>45750.0</v>
      </c>
      <c r="I10" s="12" t="s">
        <v>72</v>
      </c>
      <c r="J10" s="10" t="s">
        <v>57</v>
      </c>
      <c r="K10" s="10" t="s">
        <v>58</v>
      </c>
      <c r="L10" s="10" t="s">
        <v>30</v>
      </c>
      <c r="M10" s="10" t="s">
        <v>32</v>
      </c>
      <c r="N10" s="10" t="s">
        <v>45</v>
      </c>
      <c r="O10" s="10" t="s">
        <v>34</v>
      </c>
      <c r="P10" s="10" t="s">
        <v>35</v>
      </c>
      <c r="Q10" s="10" t="s">
        <v>73</v>
      </c>
      <c r="R10" s="10"/>
      <c r="S10" s="10" t="s">
        <v>37</v>
      </c>
      <c r="T10" s="13">
        <v>46137.0</v>
      </c>
    </row>
    <row r="11" ht="16.5" customHeight="1">
      <c r="A11" s="9" t="s">
        <v>74</v>
      </c>
      <c r="B11" s="10" t="s">
        <v>68</v>
      </c>
      <c r="C11" s="10" t="s">
        <v>24</v>
      </c>
      <c r="D11" s="10" t="s">
        <v>75</v>
      </c>
      <c r="E11" s="10"/>
      <c r="F11" s="10" t="s">
        <v>76</v>
      </c>
      <c r="G11" s="10" t="s">
        <v>27</v>
      </c>
      <c r="H11" s="11">
        <v>46006.0</v>
      </c>
      <c r="I11" s="12" t="s">
        <v>77</v>
      </c>
      <c r="J11" s="10" t="s">
        <v>57</v>
      </c>
      <c r="K11" s="10" t="s">
        <v>58</v>
      </c>
      <c r="L11" s="10" t="s">
        <v>43</v>
      </c>
      <c r="M11" s="10" t="s">
        <v>59</v>
      </c>
      <c r="N11" s="10" t="s">
        <v>32</v>
      </c>
      <c r="O11" s="10" t="s">
        <v>34</v>
      </c>
      <c r="P11" s="10" t="s">
        <v>35</v>
      </c>
      <c r="Q11" s="10" t="s">
        <v>78</v>
      </c>
      <c r="R11" s="10"/>
      <c r="S11" s="10" t="s">
        <v>37</v>
      </c>
      <c r="T11" s="13">
        <v>46137.0</v>
      </c>
    </row>
    <row r="12" ht="16.5" customHeight="1">
      <c r="A12" s="9" t="s">
        <v>79</v>
      </c>
      <c r="B12" s="10" t="s">
        <v>68</v>
      </c>
      <c r="C12" s="10" t="s">
        <v>24</v>
      </c>
      <c r="D12" s="10" t="s">
        <v>75</v>
      </c>
      <c r="E12" s="10"/>
      <c r="F12" s="10" t="s">
        <v>80</v>
      </c>
      <c r="G12" s="10" t="s">
        <v>27</v>
      </c>
      <c r="H12" s="11">
        <v>46021.0</v>
      </c>
      <c r="I12" s="12" t="s">
        <v>81</v>
      </c>
      <c r="J12" s="10" t="s">
        <v>57</v>
      </c>
      <c r="K12" s="10" t="s">
        <v>82</v>
      </c>
      <c r="L12" s="10" t="s">
        <v>43</v>
      </c>
      <c r="M12" s="10" t="s">
        <v>32</v>
      </c>
      <c r="N12" s="10" t="s">
        <v>45</v>
      </c>
      <c r="O12" s="10" t="s">
        <v>34</v>
      </c>
      <c r="P12" s="10" t="s">
        <v>35</v>
      </c>
      <c r="Q12" s="10" t="s">
        <v>83</v>
      </c>
      <c r="R12" s="10"/>
      <c r="S12" s="10" t="s">
        <v>37</v>
      </c>
      <c r="T12" s="13">
        <v>46137.0</v>
      </c>
    </row>
    <row r="13" ht="16.5" customHeight="1">
      <c r="A13" s="9" t="s">
        <v>84</v>
      </c>
      <c r="B13" s="10" t="s">
        <v>68</v>
      </c>
      <c r="C13" s="10" t="s">
        <v>24</v>
      </c>
      <c r="D13" s="10" t="s">
        <v>85</v>
      </c>
      <c r="E13" s="10"/>
      <c r="F13" s="10" t="s">
        <v>86</v>
      </c>
      <c r="G13" s="10" t="s">
        <v>27</v>
      </c>
      <c r="H13" s="11">
        <v>45292.0</v>
      </c>
      <c r="I13" s="12" t="s">
        <v>87</v>
      </c>
      <c r="J13" s="10" t="s">
        <v>57</v>
      </c>
      <c r="K13" s="10" t="s">
        <v>82</v>
      </c>
      <c r="L13" s="10" t="s">
        <v>43</v>
      </c>
      <c r="M13" s="10" t="s">
        <v>32</v>
      </c>
      <c r="N13" s="10" t="s">
        <v>59</v>
      </c>
      <c r="O13" s="10" t="s">
        <v>34</v>
      </c>
      <c r="P13" s="10" t="s">
        <v>35</v>
      </c>
      <c r="Q13" s="10" t="s">
        <v>88</v>
      </c>
      <c r="R13" s="10"/>
      <c r="S13" s="10" t="s">
        <v>37</v>
      </c>
      <c r="T13" s="13">
        <v>46137.0</v>
      </c>
    </row>
    <row r="14" ht="16.5" customHeight="1">
      <c r="A14" s="9" t="s">
        <v>89</v>
      </c>
      <c r="B14" s="10" t="s">
        <v>90</v>
      </c>
      <c r="C14" s="10" t="s">
        <v>24</v>
      </c>
      <c r="D14" s="10" t="s">
        <v>91</v>
      </c>
      <c r="E14" s="10" t="s">
        <v>92</v>
      </c>
      <c r="F14" s="10" t="s">
        <v>93</v>
      </c>
      <c r="G14" s="10" t="s">
        <v>94</v>
      </c>
      <c r="H14" s="10">
        <v>2025.0</v>
      </c>
      <c r="I14" s="12" t="s">
        <v>95</v>
      </c>
      <c r="J14" s="10" t="s">
        <v>57</v>
      </c>
      <c r="K14" s="10" t="s">
        <v>82</v>
      </c>
      <c r="L14" s="10" t="s">
        <v>43</v>
      </c>
      <c r="M14" s="10" t="s">
        <v>96</v>
      </c>
      <c r="N14" s="10" t="s">
        <v>32</v>
      </c>
      <c r="O14" s="10" t="s">
        <v>97</v>
      </c>
      <c r="P14" s="10" t="s">
        <v>46</v>
      </c>
      <c r="Q14" s="10" t="s">
        <v>98</v>
      </c>
      <c r="R14" s="10"/>
      <c r="S14" s="10" t="s">
        <v>37</v>
      </c>
      <c r="T14" s="13">
        <v>46137.0</v>
      </c>
    </row>
    <row r="15" ht="16.5" customHeight="1">
      <c r="A15" s="9" t="s">
        <v>99</v>
      </c>
      <c r="B15" s="10" t="s">
        <v>90</v>
      </c>
      <c r="C15" s="10" t="s">
        <v>24</v>
      </c>
      <c r="D15" s="10" t="s">
        <v>91</v>
      </c>
      <c r="E15" s="10" t="s">
        <v>92</v>
      </c>
      <c r="F15" s="10" t="s">
        <v>100</v>
      </c>
      <c r="G15" s="10" t="s">
        <v>94</v>
      </c>
      <c r="H15" s="11">
        <v>46031.0</v>
      </c>
      <c r="I15" s="12" t="s">
        <v>101</v>
      </c>
      <c r="J15" s="10" t="s">
        <v>29</v>
      </c>
      <c r="K15" s="10" t="s">
        <v>102</v>
      </c>
      <c r="L15" s="10" t="s">
        <v>103</v>
      </c>
      <c r="M15" s="10" t="s">
        <v>32</v>
      </c>
      <c r="N15" s="10" t="s">
        <v>45</v>
      </c>
      <c r="O15" s="10" t="s">
        <v>34</v>
      </c>
      <c r="P15" s="10" t="s">
        <v>46</v>
      </c>
      <c r="Q15" s="10" t="s">
        <v>104</v>
      </c>
      <c r="R15" s="10"/>
      <c r="S15" s="10"/>
      <c r="T15" s="13"/>
    </row>
    <row r="16" ht="16.5" customHeight="1">
      <c r="A16" s="9" t="s">
        <v>105</v>
      </c>
      <c r="B16" s="10" t="s">
        <v>90</v>
      </c>
      <c r="C16" s="10" t="s">
        <v>24</v>
      </c>
      <c r="D16" s="10" t="s">
        <v>106</v>
      </c>
      <c r="E16" s="10" t="s">
        <v>107</v>
      </c>
      <c r="F16" s="10" t="s">
        <v>108</v>
      </c>
      <c r="G16" s="10" t="s">
        <v>94</v>
      </c>
      <c r="H16" s="11">
        <v>45708.0</v>
      </c>
      <c r="I16" s="12" t="s">
        <v>109</v>
      </c>
      <c r="J16" s="10" t="s">
        <v>29</v>
      </c>
      <c r="K16" s="10" t="s">
        <v>58</v>
      </c>
      <c r="L16" s="10" t="s">
        <v>103</v>
      </c>
      <c r="M16" s="10" t="s">
        <v>44</v>
      </c>
      <c r="N16" s="10" t="s">
        <v>96</v>
      </c>
      <c r="O16" s="10" t="s">
        <v>110</v>
      </c>
      <c r="P16" s="10" t="s">
        <v>111</v>
      </c>
      <c r="Q16" s="10" t="s">
        <v>112</v>
      </c>
      <c r="R16" s="10"/>
      <c r="S16" s="10" t="s">
        <v>37</v>
      </c>
      <c r="T16" s="13">
        <v>46137.0</v>
      </c>
    </row>
    <row r="17" ht="16.5" customHeight="1">
      <c r="A17" s="14" t="s">
        <v>113</v>
      </c>
      <c r="B17" s="10" t="s">
        <v>114</v>
      </c>
      <c r="C17" s="10" t="s">
        <v>24</v>
      </c>
      <c r="D17" s="10" t="s">
        <v>106</v>
      </c>
      <c r="E17" s="10" t="s">
        <v>107</v>
      </c>
      <c r="F17" s="10" t="s">
        <v>115</v>
      </c>
      <c r="G17" s="10" t="s">
        <v>94</v>
      </c>
      <c r="H17" s="10">
        <v>2025.0</v>
      </c>
      <c r="I17" s="12" t="s">
        <v>116</v>
      </c>
      <c r="J17" s="10" t="s">
        <v>29</v>
      </c>
      <c r="K17" s="10" t="s">
        <v>58</v>
      </c>
      <c r="L17" s="10" t="s">
        <v>103</v>
      </c>
      <c r="M17" s="10" t="s">
        <v>96</v>
      </c>
      <c r="N17" s="10" t="s">
        <v>44</v>
      </c>
      <c r="O17" s="10" t="s">
        <v>97</v>
      </c>
      <c r="P17" s="10" t="s">
        <v>111</v>
      </c>
      <c r="Q17" s="10" t="s">
        <v>117</v>
      </c>
      <c r="R17" s="10"/>
      <c r="S17" s="10" t="s">
        <v>37</v>
      </c>
      <c r="T17" s="13">
        <v>46137.0</v>
      </c>
    </row>
    <row r="18" ht="16.5" customHeight="1">
      <c r="A18" s="9" t="s">
        <v>118</v>
      </c>
      <c r="B18" s="10" t="s">
        <v>114</v>
      </c>
      <c r="C18" s="10" t="s">
        <v>24</v>
      </c>
      <c r="D18" s="10" t="s">
        <v>119</v>
      </c>
      <c r="E18" s="10" t="s">
        <v>107</v>
      </c>
      <c r="F18" s="10" t="s">
        <v>120</v>
      </c>
      <c r="G18" s="10" t="s">
        <v>121</v>
      </c>
      <c r="H18" s="10"/>
      <c r="I18" s="12" t="s">
        <v>122</v>
      </c>
      <c r="J18" s="10" t="s">
        <v>29</v>
      </c>
      <c r="K18" s="10" t="s">
        <v>58</v>
      </c>
      <c r="L18" s="10" t="s">
        <v>103</v>
      </c>
      <c r="M18" s="10" t="s">
        <v>45</v>
      </c>
      <c r="N18" s="10" t="s">
        <v>44</v>
      </c>
      <c r="O18" s="10" t="s">
        <v>97</v>
      </c>
      <c r="P18" s="10" t="s">
        <v>46</v>
      </c>
      <c r="Q18" s="10" t="s">
        <v>123</v>
      </c>
      <c r="R18" s="10"/>
      <c r="S18" s="10" t="s">
        <v>37</v>
      </c>
      <c r="T18" s="13">
        <v>46137.0</v>
      </c>
    </row>
    <row r="19" ht="16.5" customHeight="1">
      <c r="A19" s="9" t="s">
        <v>124</v>
      </c>
      <c r="B19" s="10" t="s">
        <v>114</v>
      </c>
      <c r="C19" s="10" t="s">
        <v>24</v>
      </c>
      <c r="D19" s="10" t="s">
        <v>125</v>
      </c>
      <c r="E19" s="10" t="s">
        <v>107</v>
      </c>
      <c r="F19" s="10" t="s">
        <v>126</v>
      </c>
      <c r="G19" s="10" t="s">
        <v>94</v>
      </c>
      <c r="H19" s="10">
        <v>2026.0</v>
      </c>
      <c r="I19" s="12" t="s">
        <v>127</v>
      </c>
      <c r="J19" s="10" t="s">
        <v>57</v>
      </c>
      <c r="K19" s="10" t="s">
        <v>30</v>
      </c>
      <c r="L19" s="10" t="s">
        <v>103</v>
      </c>
      <c r="M19" s="10" t="s">
        <v>96</v>
      </c>
      <c r="N19" s="10" t="s">
        <v>44</v>
      </c>
      <c r="O19" s="10" t="s">
        <v>110</v>
      </c>
      <c r="P19" s="10" t="s">
        <v>46</v>
      </c>
      <c r="Q19" s="10" t="s">
        <v>128</v>
      </c>
      <c r="R19" s="10"/>
      <c r="S19" s="10" t="s">
        <v>37</v>
      </c>
      <c r="T19" s="13">
        <v>46143.0</v>
      </c>
    </row>
    <row r="20" ht="16.5" customHeight="1">
      <c r="A20" s="9" t="s">
        <v>129</v>
      </c>
      <c r="B20" s="10" t="s">
        <v>114</v>
      </c>
      <c r="C20" s="10" t="s">
        <v>24</v>
      </c>
      <c r="D20" s="10" t="s">
        <v>130</v>
      </c>
      <c r="E20" s="10" t="s">
        <v>107</v>
      </c>
      <c r="F20" s="10" t="s">
        <v>131</v>
      </c>
      <c r="G20" s="10" t="s">
        <v>132</v>
      </c>
      <c r="H20" s="10"/>
      <c r="I20" s="12" t="s">
        <v>133</v>
      </c>
      <c r="J20" s="10" t="s">
        <v>29</v>
      </c>
      <c r="K20" s="10" t="s">
        <v>58</v>
      </c>
      <c r="L20" s="10" t="s">
        <v>103</v>
      </c>
      <c r="M20" s="10" t="s">
        <v>45</v>
      </c>
      <c r="N20" s="10" t="s">
        <v>96</v>
      </c>
      <c r="O20" s="10" t="s">
        <v>97</v>
      </c>
      <c r="P20" s="10" t="s">
        <v>111</v>
      </c>
      <c r="Q20" s="10" t="s">
        <v>134</v>
      </c>
      <c r="R20" s="10"/>
      <c r="S20" s="10" t="s">
        <v>37</v>
      </c>
      <c r="T20" s="13">
        <v>46143.0</v>
      </c>
    </row>
    <row r="21" ht="16.5" customHeight="1">
      <c r="A21" s="9" t="s">
        <v>135</v>
      </c>
      <c r="B21" s="10" t="s">
        <v>90</v>
      </c>
      <c r="C21" s="10" t="s">
        <v>24</v>
      </c>
      <c r="D21" s="10" t="s">
        <v>136</v>
      </c>
      <c r="E21" s="10" t="s">
        <v>137</v>
      </c>
      <c r="F21" s="10" t="s">
        <v>138</v>
      </c>
      <c r="G21" s="10" t="s">
        <v>94</v>
      </c>
      <c r="H21" s="10">
        <v>2025.0</v>
      </c>
      <c r="I21" s="12" t="s">
        <v>139</v>
      </c>
      <c r="J21" s="10" t="s">
        <v>42</v>
      </c>
      <c r="K21" s="10" t="s">
        <v>30</v>
      </c>
      <c r="L21" s="10" t="s">
        <v>30</v>
      </c>
      <c r="M21" s="10" t="s">
        <v>45</v>
      </c>
      <c r="N21" s="10" t="s">
        <v>33</v>
      </c>
      <c r="O21" s="10" t="s">
        <v>34</v>
      </c>
      <c r="P21" s="10" t="s">
        <v>46</v>
      </c>
      <c r="Q21" s="10" t="s">
        <v>140</v>
      </c>
      <c r="R21" s="10"/>
      <c r="S21" s="10" t="s">
        <v>37</v>
      </c>
      <c r="T21" s="13">
        <v>46137.0</v>
      </c>
    </row>
    <row r="22" ht="16.5" customHeight="1">
      <c r="A22" s="9" t="s">
        <v>141</v>
      </c>
      <c r="B22" s="10" t="s">
        <v>114</v>
      </c>
      <c r="C22" s="10" t="s">
        <v>24</v>
      </c>
      <c r="D22" s="10" t="s">
        <v>142</v>
      </c>
      <c r="E22" s="10" t="s">
        <v>137</v>
      </c>
      <c r="F22" s="10" t="s">
        <v>143</v>
      </c>
      <c r="G22" s="10" t="s">
        <v>94</v>
      </c>
      <c r="H22" s="11">
        <v>45888.0</v>
      </c>
      <c r="I22" s="12" t="s">
        <v>144</v>
      </c>
      <c r="J22" s="10" t="s">
        <v>42</v>
      </c>
      <c r="K22" s="10" t="s">
        <v>82</v>
      </c>
      <c r="L22" s="10" t="s">
        <v>103</v>
      </c>
      <c r="M22" s="10" t="s">
        <v>44</v>
      </c>
      <c r="N22" s="10" t="s">
        <v>32</v>
      </c>
      <c r="O22" s="10" t="s">
        <v>97</v>
      </c>
      <c r="P22" s="10" t="s">
        <v>46</v>
      </c>
      <c r="Q22" s="10" t="s">
        <v>145</v>
      </c>
      <c r="R22" s="10"/>
      <c r="S22" s="10" t="s">
        <v>37</v>
      </c>
      <c r="T22" s="13">
        <v>46138.0</v>
      </c>
    </row>
    <row r="23" ht="16.5" customHeight="1">
      <c r="A23" s="9" t="s">
        <v>146</v>
      </c>
      <c r="B23" s="10" t="s">
        <v>114</v>
      </c>
      <c r="C23" s="10" t="s">
        <v>24</v>
      </c>
      <c r="D23" s="10" t="s">
        <v>147</v>
      </c>
      <c r="E23" s="10" t="s">
        <v>137</v>
      </c>
      <c r="F23" s="10" t="s">
        <v>148</v>
      </c>
      <c r="G23" s="10" t="s">
        <v>94</v>
      </c>
      <c r="H23" s="10">
        <v>2025.0</v>
      </c>
      <c r="I23" s="12" t="s">
        <v>149</v>
      </c>
      <c r="J23" s="10" t="s">
        <v>57</v>
      </c>
      <c r="K23" s="10" t="s">
        <v>82</v>
      </c>
      <c r="L23" s="10" t="s">
        <v>150</v>
      </c>
      <c r="M23" s="10" t="s">
        <v>96</v>
      </c>
      <c r="N23" s="10" t="s">
        <v>59</v>
      </c>
      <c r="O23" s="10" t="s">
        <v>97</v>
      </c>
      <c r="P23" s="10" t="s">
        <v>151</v>
      </c>
      <c r="Q23" s="10" t="s">
        <v>152</v>
      </c>
      <c r="R23" s="10"/>
      <c r="S23" s="10" t="s">
        <v>37</v>
      </c>
      <c r="T23" s="13">
        <v>46137.0</v>
      </c>
    </row>
    <row r="24" ht="16.5" customHeight="1">
      <c r="A24" s="9" t="s">
        <v>153</v>
      </c>
      <c r="B24" s="10" t="s">
        <v>90</v>
      </c>
      <c r="C24" s="10" t="s">
        <v>24</v>
      </c>
      <c r="D24" s="10" t="s">
        <v>154</v>
      </c>
      <c r="E24" s="10" t="s">
        <v>137</v>
      </c>
      <c r="F24" s="10" t="s">
        <v>155</v>
      </c>
      <c r="G24" s="10" t="s">
        <v>94</v>
      </c>
      <c r="H24" s="10">
        <v>2025.0</v>
      </c>
      <c r="I24" s="12" t="s">
        <v>156</v>
      </c>
      <c r="J24" s="10" t="s">
        <v>29</v>
      </c>
      <c r="K24" s="10" t="s">
        <v>82</v>
      </c>
      <c r="L24" s="10" t="s">
        <v>103</v>
      </c>
      <c r="M24" s="10" t="s">
        <v>45</v>
      </c>
      <c r="N24" s="10" t="s">
        <v>44</v>
      </c>
      <c r="O24" s="10" t="s">
        <v>97</v>
      </c>
      <c r="P24" s="10" t="s">
        <v>46</v>
      </c>
      <c r="Q24" s="10" t="s">
        <v>157</v>
      </c>
      <c r="R24" s="10"/>
      <c r="S24" s="10" t="s">
        <v>37</v>
      </c>
      <c r="T24" s="13">
        <v>46137.0</v>
      </c>
    </row>
    <row r="25" ht="16.5" customHeight="1">
      <c r="A25" s="9" t="s">
        <v>158</v>
      </c>
      <c r="B25" s="10" t="s">
        <v>114</v>
      </c>
      <c r="C25" s="10" t="s">
        <v>24</v>
      </c>
      <c r="D25" s="10" t="s">
        <v>159</v>
      </c>
      <c r="E25" s="10" t="s">
        <v>137</v>
      </c>
      <c r="F25" s="10" t="s">
        <v>160</v>
      </c>
      <c r="G25" s="10" t="s">
        <v>94</v>
      </c>
      <c r="H25" s="10"/>
      <c r="I25" s="12" t="s">
        <v>161</v>
      </c>
      <c r="J25" s="10" t="s">
        <v>57</v>
      </c>
      <c r="K25" s="10" t="s">
        <v>82</v>
      </c>
      <c r="L25" s="10" t="s">
        <v>103</v>
      </c>
      <c r="M25" s="10" t="s">
        <v>96</v>
      </c>
      <c r="N25" s="10" t="s">
        <v>33</v>
      </c>
      <c r="O25" s="10" t="s">
        <v>110</v>
      </c>
      <c r="P25" s="10" t="s">
        <v>46</v>
      </c>
      <c r="Q25" s="10" t="s">
        <v>162</v>
      </c>
      <c r="R25" s="10"/>
      <c r="S25" s="10" t="s">
        <v>37</v>
      </c>
      <c r="T25" s="13">
        <v>46143.0</v>
      </c>
    </row>
    <row r="26" ht="16.5" customHeight="1">
      <c r="A26" s="9" t="s">
        <v>163</v>
      </c>
      <c r="B26" s="10" t="s">
        <v>114</v>
      </c>
      <c r="C26" s="10" t="s">
        <v>24</v>
      </c>
      <c r="D26" s="10" t="s">
        <v>164</v>
      </c>
      <c r="E26" s="10" t="s">
        <v>137</v>
      </c>
      <c r="F26" s="10" t="s">
        <v>165</v>
      </c>
      <c r="G26" s="10" t="s">
        <v>132</v>
      </c>
      <c r="H26" s="15">
        <v>45717.0</v>
      </c>
      <c r="I26" s="12" t="s">
        <v>166</v>
      </c>
      <c r="J26" s="10" t="s">
        <v>29</v>
      </c>
      <c r="K26" s="10" t="s">
        <v>58</v>
      </c>
      <c r="L26" s="10" t="s">
        <v>103</v>
      </c>
      <c r="M26" s="10" t="s">
        <v>44</v>
      </c>
      <c r="N26" s="10" t="s">
        <v>45</v>
      </c>
      <c r="O26" s="10" t="s">
        <v>34</v>
      </c>
      <c r="P26" s="10" t="s">
        <v>111</v>
      </c>
      <c r="Q26" s="10" t="s">
        <v>167</v>
      </c>
      <c r="R26" s="10"/>
      <c r="S26" s="10"/>
      <c r="T26" s="13"/>
    </row>
    <row r="27" ht="16.5" customHeight="1">
      <c r="A27" s="9" t="s">
        <v>168</v>
      </c>
      <c r="B27" s="10" t="s">
        <v>114</v>
      </c>
      <c r="C27" s="10" t="s">
        <v>24</v>
      </c>
      <c r="D27" s="10" t="s">
        <v>169</v>
      </c>
      <c r="E27" s="16" t="s">
        <v>92</v>
      </c>
      <c r="F27" s="10" t="s">
        <v>170</v>
      </c>
      <c r="G27" s="10" t="s">
        <v>132</v>
      </c>
      <c r="H27" s="10">
        <v>2025.0</v>
      </c>
      <c r="I27" s="12" t="s">
        <v>171</v>
      </c>
      <c r="J27" s="10" t="s">
        <v>29</v>
      </c>
      <c r="K27" s="10" t="s">
        <v>102</v>
      </c>
      <c r="L27" s="10" t="s">
        <v>103</v>
      </c>
      <c r="M27" s="10" t="s">
        <v>44</v>
      </c>
      <c r="N27" s="10" t="s">
        <v>96</v>
      </c>
      <c r="O27" s="10" t="s">
        <v>97</v>
      </c>
      <c r="P27" s="10" t="s">
        <v>46</v>
      </c>
      <c r="Q27" s="10" t="s">
        <v>172</v>
      </c>
      <c r="R27" s="10"/>
      <c r="S27" s="10" t="s">
        <v>37</v>
      </c>
      <c r="T27" s="13">
        <v>46137.0</v>
      </c>
    </row>
    <row r="28" ht="16.5" customHeight="1">
      <c r="A28" s="9" t="s">
        <v>173</v>
      </c>
      <c r="B28" s="10" t="s">
        <v>174</v>
      </c>
      <c r="C28" s="10" t="s">
        <v>24</v>
      </c>
      <c r="D28" s="10" t="s">
        <v>175</v>
      </c>
      <c r="E28" s="16" t="s">
        <v>92</v>
      </c>
      <c r="F28" s="10" t="s">
        <v>176</v>
      </c>
      <c r="G28" s="10" t="s">
        <v>177</v>
      </c>
      <c r="H28" s="10" t="s">
        <v>178</v>
      </c>
      <c r="I28" s="17" t="s">
        <v>179</v>
      </c>
      <c r="J28" s="10" t="s">
        <v>180</v>
      </c>
      <c r="K28" s="10" t="s">
        <v>30</v>
      </c>
      <c r="L28" s="10" t="s">
        <v>103</v>
      </c>
      <c r="M28" s="10" t="s">
        <v>96</v>
      </c>
      <c r="N28" s="10" t="s">
        <v>44</v>
      </c>
      <c r="O28" s="10" t="s">
        <v>110</v>
      </c>
      <c r="P28" s="10" t="s">
        <v>151</v>
      </c>
      <c r="Q28" s="10" t="s">
        <v>181</v>
      </c>
      <c r="R28" s="10"/>
      <c r="S28" s="10" t="s">
        <v>37</v>
      </c>
      <c r="T28" s="13">
        <v>46137.0</v>
      </c>
      <c r="U28" s="18" t="s">
        <v>182</v>
      </c>
    </row>
    <row r="29" ht="16.5" customHeight="1">
      <c r="A29" s="9" t="s">
        <v>183</v>
      </c>
      <c r="B29" s="10" t="s">
        <v>174</v>
      </c>
      <c r="C29" s="10" t="s">
        <v>24</v>
      </c>
      <c r="D29" s="10" t="s">
        <v>184</v>
      </c>
      <c r="E29" s="16" t="s">
        <v>92</v>
      </c>
      <c r="F29" s="10" t="s">
        <v>185</v>
      </c>
      <c r="G29" s="10" t="s">
        <v>177</v>
      </c>
      <c r="H29" s="10" t="s">
        <v>178</v>
      </c>
      <c r="I29" s="17" t="s">
        <v>186</v>
      </c>
      <c r="J29" s="10" t="s">
        <v>180</v>
      </c>
      <c r="K29" s="10" t="s">
        <v>30</v>
      </c>
      <c r="L29" s="10" t="s">
        <v>103</v>
      </c>
      <c r="M29" s="10" t="s">
        <v>44</v>
      </c>
      <c r="N29" s="10" t="s">
        <v>96</v>
      </c>
      <c r="O29" s="10" t="s">
        <v>110</v>
      </c>
      <c r="P29" s="10" t="s">
        <v>151</v>
      </c>
      <c r="Q29" s="10" t="s">
        <v>187</v>
      </c>
      <c r="R29" s="10"/>
      <c r="S29" s="10" t="s">
        <v>37</v>
      </c>
      <c r="T29" s="13">
        <v>46137.0</v>
      </c>
    </row>
    <row r="30" ht="16.5" customHeight="1">
      <c r="A30" s="9" t="s">
        <v>188</v>
      </c>
      <c r="B30" s="10" t="s">
        <v>174</v>
      </c>
      <c r="C30" s="10" t="s">
        <v>24</v>
      </c>
      <c r="D30" s="10" t="s">
        <v>189</v>
      </c>
      <c r="E30" s="16" t="s">
        <v>92</v>
      </c>
      <c r="F30" s="10" t="s">
        <v>190</v>
      </c>
      <c r="G30" s="10" t="s">
        <v>177</v>
      </c>
      <c r="H30" s="10" t="s">
        <v>178</v>
      </c>
      <c r="I30" s="17" t="s">
        <v>191</v>
      </c>
      <c r="J30" s="10" t="s">
        <v>42</v>
      </c>
      <c r="K30" s="10" t="s">
        <v>30</v>
      </c>
      <c r="L30" s="10" t="s">
        <v>103</v>
      </c>
      <c r="M30" s="10" t="s">
        <v>33</v>
      </c>
      <c r="N30" s="10" t="s">
        <v>45</v>
      </c>
      <c r="O30" s="10" t="s">
        <v>97</v>
      </c>
      <c r="P30" s="10" t="s">
        <v>151</v>
      </c>
      <c r="Q30" s="10" t="s">
        <v>192</v>
      </c>
      <c r="R30" s="10"/>
      <c r="S30" s="10" t="s">
        <v>37</v>
      </c>
      <c r="T30" s="13">
        <v>46137.0</v>
      </c>
    </row>
    <row r="31" ht="16.5" customHeight="1">
      <c r="A31" s="9" t="s">
        <v>193</v>
      </c>
      <c r="B31" s="10" t="s">
        <v>174</v>
      </c>
      <c r="C31" s="10" t="s">
        <v>24</v>
      </c>
      <c r="D31" s="18" t="s">
        <v>194</v>
      </c>
      <c r="E31" s="16" t="s">
        <v>92</v>
      </c>
      <c r="F31" s="10" t="s">
        <v>195</v>
      </c>
      <c r="G31" s="10" t="s">
        <v>177</v>
      </c>
      <c r="H31" s="10" t="s">
        <v>196</v>
      </c>
      <c r="I31" s="17" t="s">
        <v>197</v>
      </c>
      <c r="J31" s="10" t="s">
        <v>42</v>
      </c>
      <c r="K31" s="10" t="s">
        <v>82</v>
      </c>
      <c r="L31" s="10" t="s">
        <v>103</v>
      </c>
      <c r="M31" s="10" t="s">
        <v>33</v>
      </c>
      <c r="N31" s="10" t="s">
        <v>45</v>
      </c>
      <c r="O31" s="10" t="s">
        <v>97</v>
      </c>
      <c r="P31" s="10" t="s">
        <v>151</v>
      </c>
      <c r="Q31" s="10" t="s">
        <v>198</v>
      </c>
      <c r="R31" s="10"/>
      <c r="S31" s="10" t="s">
        <v>37</v>
      </c>
      <c r="T31" s="13">
        <v>46137.0</v>
      </c>
    </row>
    <row r="32" ht="16.5" customHeight="1">
      <c r="A32" s="9" t="s">
        <v>199</v>
      </c>
      <c r="B32" s="10" t="s">
        <v>174</v>
      </c>
      <c r="C32" s="10" t="s">
        <v>24</v>
      </c>
      <c r="D32" s="18" t="s">
        <v>200</v>
      </c>
      <c r="E32" s="16" t="s">
        <v>92</v>
      </c>
      <c r="F32" s="10" t="s">
        <v>201</v>
      </c>
      <c r="G32" s="10" t="s">
        <v>177</v>
      </c>
      <c r="H32" s="10" t="s">
        <v>178</v>
      </c>
      <c r="I32" s="19" t="s">
        <v>202</v>
      </c>
      <c r="J32" s="10" t="s">
        <v>29</v>
      </c>
      <c r="K32" s="10" t="s">
        <v>102</v>
      </c>
      <c r="L32" s="10" t="s">
        <v>103</v>
      </c>
      <c r="M32" s="10" t="s">
        <v>96</v>
      </c>
      <c r="N32" s="10" t="s">
        <v>44</v>
      </c>
      <c r="O32" s="10" t="s">
        <v>97</v>
      </c>
      <c r="P32" s="10" t="s">
        <v>151</v>
      </c>
      <c r="Q32" s="10" t="s">
        <v>203</v>
      </c>
      <c r="R32" s="10"/>
      <c r="S32" s="10"/>
      <c r="T32" s="13"/>
    </row>
    <row r="33" ht="16.5" customHeight="1">
      <c r="A33" s="9" t="s">
        <v>204</v>
      </c>
      <c r="B33" s="10" t="s">
        <v>174</v>
      </c>
      <c r="C33" s="10" t="s">
        <v>24</v>
      </c>
      <c r="D33" s="18" t="s">
        <v>205</v>
      </c>
      <c r="E33" s="16" t="s">
        <v>92</v>
      </c>
      <c r="F33" s="10" t="s">
        <v>206</v>
      </c>
      <c r="G33" s="10" t="s">
        <v>177</v>
      </c>
      <c r="H33" s="10" t="s">
        <v>178</v>
      </c>
      <c r="I33" s="19" t="s">
        <v>207</v>
      </c>
      <c r="J33" s="10" t="s">
        <v>29</v>
      </c>
      <c r="K33" s="10" t="s">
        <v>82</v>
      </c>
      <c r="L33" s="10" t="s">
        <v>103</v>
      </c>
      <c r="M33" s="10" t="s">
        <v>45</v>
      </c>
      <c r="N33" s="10" t="s">
        <v>96</v>
      </c>
      <c r="O33" s="10" t="s">
        <v>97</v>
      </c>
      <c r="P33" s="10" t="s">
        <v>151</v>
      </c>
      <c r="Q33" s="10" t="s">
        <v>208</v>
      </c>
      <c r="R33" s="10"/>
      <c r="S33" s="10"/>
      <c r="T33" s="13"/>
    </row>
    <row r="34" ht="16.5" customHeight="1">
      <c r="A34" s="9" t="s">
        <v>209</v>
      </c>
      <c r="B34" s="10" t="s">
        <v>174</v>
      </c>
      <c r="C34" s="10" t="s">
        <v>24</v>
      </c>
      <c r="D34" s="10" t="s">
        <v>210</v>
      </c>
      <c r="E34" s="10" t="s">
        <v>107</v>
      </c>
      <c r="F34" s="10" t="s">
        <v>211</v>
      </c>
      <c r="G34" s="10" t="s">
        <v>177</v>
      </c>
      <c r="H34" s="10" t="s">
        <v>178</v>
      </c>
      <c r="I34" s="20" t="s">
        <v>212</v>
      </c>
      <c r="J34" s="10" t="s">
        <v>29</v>
      </c>
      <c r="K34" s="10" t="s">
        <v>82</v>
      </c>
      <c r="L34" s="10" t="s">
        <v>103</v>
      </c>
      <c r="M34" s="10" t="s">
        <v>33</v>
      </c>
      <c r="N34" s="10" t="s">
        <v>44</v>
      </c>
      <c r="O34" s="10" t="s">
        <v>97</v>
      </c>
      <c r="P34" s="10" t="s">
        <v>151</v>
      </c>
      <c r="Q34" s="10" t="s">
        <v>213</v>
      </c>
      <c r="R34" s="10"/>
      <c r="S34" s="10" t="s">
        <v>37</v>
      </c>
      <c r="T34" s="13">
        <v>46137.0</v>
      </c>
    </row>
    <row r="35" ht="16.5" customHeight="1">
      <c r="A35" s="9" t="s">
        <v>214</v>
      </c>
      <c r="B35" s="10" t="s">
        <v>174</v>
      </c>
      <c r="C35" s="10" t="s">
        <v>24</v>
      </c>
      <c r="D35" s="10" t="s">
        <v>215</v>
      </c>
      <c r="E35" s="10" t="s">
        <v>107</v>
      </c>
      <c r="F35" s="10" t="s">
        <v>216</v>
      </c>
      <c r="G35" s="10" t="s">
        <v>177</v>
      </c>
      <c r="H35" s="10" t="s">
        <v>178</v>
      </c>
      <c r="I35" s="17" t="s">
        <v>217</v>
      </c>
      <c r="J35" s="10" t="s">
        <v>180</v>
      </c>
      <c r="K35" s="10" t="s">
        <v>82</v>
      </c>
      <c r="L35" s="10" t="s">
        <v>103</v>
      </c>
      <c r="M35" s="10" t="s">
        <v>44</v>
      </c>
      <c r="N35" s="10" t="s">
        <v>96</v>
      </c>
      <c r="O35" s="10" t="s">
        <v>110</v>
      </c>
      <c r="P35" s="10" t="s">
        <v>151</v>
      </c>
      <c r="Q35" s="10" t="s">
        <v>218</v>
      </c>
      <c r="R35" s="10"/>
      <c r="S35" s="10" t="s">
        <v>37</v>
      </c>
      <c r="T35" s="13">
        <v>46137.0</v>
      </c>
      <c r="U35" s="18" t="s">
        <v>219</v>
      </c>
    </row>
    <row r="36" ht="16.5" customHeight="1">
      <c r="A36" s="9" t="s">
        <v>220</v>
      </c>
      <c r="B36" s="10" t="s">
        <v>174</v>
      </c>
      <c r="C36" s="10" t="s">
        <v>24</v>
      </c>
      <c r="D36" s="10" t="s">
        <v>221</v>
      </c>
      <c r="E36" s="10" t="s">
        <v>107</v>
      </c>
      <c r="F36" s="10" t="s">
        <v>222</v>
      </c>
      <c r="G36" s="10" t="s">
        <v>177</v>
      </c>
      <c r="H36" s="10" t="s">
        <v>223</v>
      </c>
      <c r="I36" s="17" t="s">
        <v>224</v>
      </c>
      <c r="J36" s="10" t="s">
        <v>42</v>
      </c>
      <c r="K36" s="10" t="s">
        <v>82</v>
      </c>
      <c r="L36" s="10" t="s">
        <v>103</v>
      </c>
      <c r="M36" s="10" t="s">
        <v>96</v>
      </c>
      <c r="N36" s="10" t="s">
        <v>44</v>
      </c>
      <c r="O36" s="10" t="s">
        <v>97</v>
      </c>
      <c r="P36" s="10" t="s">
        <v>151</v>
      </c>
      <c r="Q36" s="10" t="s">
        <v>225</v>
      </c>
      <c r="R36" s="10"/>
      <c r="S36" s="10" t="s">
        <v>37</v>
      </c>
      <c r="T36" s="13">
        <v>46137.0</v>
      </c>
      <c r="U36" s="18" t="s">
        <v>219</v>
      </c>
    </row>
    <row r="37" ht="16.5" customHeight="1">
      <c r="A37" s="9" t="s">
        <v>226</v>
      </c>
      <c r="B37" s="10" t="s">
        <v>174</v>
      </c>
      <c r="C37" s="10" t="s">
        <v>24</v>
      </c>
      <c r="D37" s="10" t="s">
        <v>227</v>
      </c>
      <c r="E37" s="10" t="s">
        <v>107</v>
      </c>
      <c r="F37" s="10" t="s">
        <v>228</v>
      </c>
      <c r="G37" s="10" t="s">
        <v>177</v>
      </c>
      <c r="H37" s="10" t="s">
        <v>223</v>
      </c>
      <c r="I37" s="17" t="s">
        <v>229</v>
      </c>
      <c r="J37" s="10" t="s">
        <v>57</v>
      </c>
      <c r="K37" s="10" t="s">
        <v>30</v>
      </c>
      <c r="L37" s="10" t="s">
        <v>103</v>
      </c>
      <c r="M37" s="10" t="s">
        <v>44</v>
      </c>
      <c r="N37" s="10" t="s">
        <v>96</v>
      </c>
      <c r="O37" s="10" t="s">
        <v>34</v>
      </c>
      <c r="P37" s="10" t="s">
        <v>151</v>
      </c>
      <c r="Q37" s="10" t="s">
        <v>230</v>
      </c>
      <c r="R37" s="10"/>
      <c r="S37" s="10" t="s">
        <v>37</v>
      </c>
      <c r="T37" s="13">
        <v>46137.0</v>
      </c>
    </row>
    <row r="38" ht="16.5" customHeight="1">
      <c r="A38" s="14" t="s">
        <v>231</v>
      </c>
      <c r="B38" s="10" t="s">
        <v>174</v>
      </c>
      <c r="C38" s="10" t="s">
        <v>24</v>
      </c>
      <c r="D38" s="10" t="s">
        <v>232</v>
      </c>
      <c r="E38" s="10" t="s">
        <v>107</v>
      </c>
      <c r="F38" s="10" t="s">
        <v>233</v>
      </c>
      <c r="G38" s="10" t="s">
        <v>177</v>
      </c>
      <c r="H38" s="10" t="s">
        <v>223</v>
      </c>
      <c r="I38" s="17" t="s">
        <v>234</v>
      </c>
      <c r="J38" s="10" t="s">
        <v>57</v>
      </c>
      <c r="K38" s="10" t="s">
        <v>30</v>
      </c>
      <c r="L38" s="10" t="s">
        <v>103</v>
      </c>
      <c r="M38" s="10" t="s">
        <v>44</v>
      </c>
      <c r="N38" s="10" t="s">
        <v>96</v>
      </c>
      <c r="O38" s="10" t="s">
        <v>34</v>
      </c>
      <c r="P38" s="10" t="s">
        <v>151</v>
      </c>
      <c r="Q38" s="10" t="s">
        <v>235</v>
      </c>
      <c r="R38" s="10"/>
      <c r="S38" s="10"/>
      <c r="T38" s="13"/>
    </row>
    <row r="39" ht="16.5" customHeight="1">
      <c r="A39" s="14" t="s">
        <v>236</v>
      </c>
      <c r="B39" s="10" t="s">
        <v>174</v>
      </c>
      <c r="C39" s="10" t="s">
        <v>24</v>
      </c>
      <c r="D39" s="10" t="s">
        <v>237</v>
      </c>
      <c r="E39" s="10" t="s">
        <v>107</v>
      </c>
      <c r="F39" s="10" t="s">
        <v>238</v>
      </c>
      <c r="G39" s="10" t="s">
        <v>177</v>
      </c>
      <c r="H39" s="10" t="s">
        <v>239</v>
      </c>
      <c r="I39" s="17" t="s">
        <v>240</v>
      </c>
      <c r="J39" s="10" t="s">
        <v>29</v>
      </c>
      <c r="K39" s="10" t="s">
        <v>82</v>
      </c>
      <c r="L39" s="10" t="s">
        <v>103</v>
      </c>
      <c r="M39" s="10" t="s">
        <v>96</v>
      </c>
      <c r="N39" s="10" t="s">
        <v>44</v>
      </c>
      <c r="O39" s="10" t="s">
        <v>110</v>
      </c>
      <c r="P39" s="10" t="s">
        <v>151</v>
      </c>
      <c r="Q39" s="10" t="s">
        <v>241</v>
      </c>
      <c r="R39" s="10"/>
      <c r="S39" s="10"/>
      <c r="T39" s="13"/>
    </row>
    <row r="40" ht="16.5" customHeight="1">
      <c r="A40" s="14" t="s">
        <v>242</v>
      </c>
      <c r="B40" s="10" t="s">
        <v>174</v>
      </c>
      <c r="C40" s="10" t="s">
        <v>24</v>
      </c>
      <c r="D40" s="10" t="s">
        <v>243</v>
      </c>
      <c r="E40" s="10" t="s">
        <v>137</v>
      </c>
      <c r="F40" s="10" t="s">
        <v>244</v>
      </c>
      <c r="G40" s="10" t="s">
        <v>177</v>
      </c>
      <c r="H40" s="10">
        <v>2025.0</v>
      </c>
      <c r="I40" s="17" t="s">
        <v>245</v>
      </c>
      <c r="J40" s="10" t="s">
        <v>29</v>
      </c>
      <c r="K40" s="10" t="s">
        <v>82</v>
      </c>
      <c r="L40" s="10" t="s">
        <v>103</v>
      </c>
      <c r="M40" s="10" t="s">
        <v>44</v>
      </c>
      <c r="N40" s="10" t="s">
        <v>96</v>
      </c>
      <c r="O40" s="10" t="s">
        <v>97</v>
      </c>
      <c r="P40" s="10" t="s">
        <v>151</v>
      </c>
      <c r="Q40" s="10" t="s">
        <v>246</v>
      </c>
      <c r="R40" s="10"/>
      <c r="S40" s="10" t="s">
        <v>37</v>
      </c>
      <c r="T40" s="13">
        <v>46137.0</v>
      </c>
      <c r="U40" s="18" t="s">
        <v>219</v>
      </c>
    </row>
    <row r="41" ht="16.5" customHeight="1">
      <c r="A41" s="14" t="s">
        <v>247</v>
      </c>
      <c r="B41" s="10" t="s">
        <v>174</v>
      </c>
      <c r="C41" s="10" t="s">
        <v>24</v>
      </c>
      <c r="D41" s="10" t="s">
        <v>248</v>
      </c>
      <c r="E41" s="10" t="s">
        <v>137</v>
      </c>
      <c r="F41" s="10" t="s">
        <v>249</v>
      </c>
      <c r="G41" s="10" t="s">
        <v>177</v>
      </c>
      <c r="H41" s="10" t="s">
        <v>178</v>
      </c>
      <c r="I41" s="17" t="s">
        <v>250</v>
      </c>
      <c r="J41" s="10" t="s">
        <v>29</v>
      </c>
      <c r="K41" s="10" t="s">
        <v>82</v>
      </c>
      <c r="L41" s="10" t="s">
        <v>103</v>
      </c>
      <c r="M41" s="10" t="s">
        <v>44</v>
      </c>
      <c r="N41" s="10" t="s">
        <v>96</v>
      </c>
      <c r="O41" s="10" t="s">
        <v>97</v>
      </c>
      <c r="P41" s="10" t="s">
        <v>151</v>
      </c>
      <c r="Q41" s="10" t="s">
        <v>251</v>
      </c>
      <c r="R41" s="10"/>
      <c r="S41" s="10" t="s">
        <v>37</v>
      </c>
      <c r="T41" s="13">
        <v>46137.0</v>
      </c>
    </row>
    <row r="42" ht="16.5" customHeight="1">
      <c r="A42" s="14" t="s">
        <v>252</v>
      </c>
      <c r="B42" s="10" t="s">
        <v>174</v>
      </c>
      <c r="C42" s="10" t="s">
        <v>24</v>
      </c>
      <c r="D42" s="10" t="s">
        <v>253</v>
      </c>
      <c r="E42" s="10" t="s">
        <v>137</v>
      </c>
      <c r="F42" s="10" t="s">
        <v>254</v>
      </c>
      <c r="G42" s="10" t="s">
        <v>177</v>
      </c>
      <c r="H42" s="10">
        <v>2025.0</v>
      </c>
      <c r="I42" s="17" t="s">
        <v>255</v>
      </c>
      <c r="J42" s="10" t="s">
        <v>29</v>
      </c>
      <c r="K42" s="10" t="s">
        <v>82</v>
      </c>
      <c r="L42" s="10" t="s">
        <v>103</v>
      </c>
      <c r="M42" s="10" t="s">
        <v>44</v>
      </c>
      <c r="N42" s="10" t="s">
        <v>96</v>
      </c>
      <c r="O42" s="10" t="s">
        <v>97</v>
      </c>
      <c r="P42" s="10" t="s">
        <v>151</v>
      </c>
      <c r="Q42" s="10" t="s">
        <v>256</v>
      </c>
      <c r="R42" s="10"/>
      <c r="S42" s="10" t="s">
        <v>37</v>
      </c>
      <c r="T42" s="13">
        <v>46137.0</v>
      </c>
      <c r="U42" s="18" t="s">
        <v>219</v>
      </c>
    </row>
    <row r="43" ht="16.5" customHeight="1">
      <c r="A43" s="14" t="s">
        <v>257</v>
      </c>
      <c r="B43" s="10" t="s">
        <v>174</v>
      </c>
      <c r="C43" s="10" t="s">
        <v>24</v>
      </c>
      <c r="D43" s="10" t="s">
        <v>258</v>
      </c>
      <c r="E43" s="10" t="s">
        <v>137</v>
      </c>
      <c r="F43" s="10" t="s">
        <v>259</v>
      </c>
      <c r="G43" s="10" t="s">
        <v>177</v>
      </c>
      <c r="H43" s="10" t="s">
        <v>223</v>
      </c>
      <c r="I43" s="17" t="s">
        <v>260</v>
      </c>
      <c r="J43" s="10" t="s">
        <v>42</v>
      </c>
      <c r="K43" s="10" t="s">
        <v>82</v>
      </c>
      <c r="L43" s="10" t="s">
        <v>43</v>
      </c>
      <c r="M43" s="10" t="s">
        <v>96</v>
      </c>
      <c r="N43" s="10" t="s">
        <v>33</v>
      </c>
      <c r="O43" s="10" t="s">
        <v>97</v>
      </c>
      <c r="P43" s="10" t="s">
        <v>151</v>
      </c>
      <c r="Q43" s="10" t="s">
        <v>261</v>
      </c>
      <c r="R43" s="10"/>
      <c r="S43" s="10" t="s">
        <v>37</v>
      </c>
      <c r="T43" s="13">
        <v>46137.0</v>
      </c>
    </row>
    <row r="44" ht="16.5" customHeight="1">
      <c r="A44" s="14" t="s">
        <v>262</v>
      </c>
      <c r="B44" s="10" t="s">
        <v>174</v>
      </c>
      <c r="C44" s="10" t="s">
        <v>24</v>
      </c>
      <c r="D44" s="10" t="s">
        <v>263</v>
      </c>
      <c r="E44" s="10" t="s">
        <v>137</v>
      </c>
      <c r="F44" s="10" t="s">
        <v>264</v>
      </c>
      <c r="G44" s="10" t="s">
        <v>177</v>
      </c>
      <c r="H44" s="10" t="s">
        <v>223</v>
      </c>
      <c r="I44" s="17" t="s">
        <v>265</v>
      </c>
      <c r="J44" s="10" t="s">
        <v>57</v>
      </c>
      <c r="K44" s="10" t="s">
        <v>82</v>
      </c>
      <c r="L44" s="10" t="s">
        <v>103</v>
      </c>
      <c r="M44" s="10" t="s">
        <v>96</v>
      </c>
      <c r="N44" s="10" t="s">
        <v>44</v>
      </c>
      <c r="O44" s="10" t="s">
        <v>110</v>
      </c>
      <c r="P44" s="10" t="s">
        <v>151</v>
      </c>
      <c r="Q44" s="10" t="s">
        <v>266</v>
      </c>
      <c r="R44" s="10"/>
      <c r="S44" s="10"/>
      <c r="T44" s="10"/>
      <c r="U44" s="18" t="s">
        <v>219</v>
      </c>
    </row>
    <row r="45" ht="16.5" customHeight="1">
      <c r="B45" s="10"/>
      <c r="C45" s="10"/>
      <c r="D45" s="10"/>
      <c r="E45" s="10"/>
      <c r="F45" s="10"/>
      <c r="G45" s="10"/>
      <c r="H45" s="10"/>
      <c r="I45" s="10"/>
      <c r="J45" s="10"/>
      <c r="K45" s="10"/>
      <c r="L45" s="10"/>
      <c r="M45" s="10"/>
      <c r="N45" s="10"/>
      <c r="O45" s="10"/>
      <c r="P45" s="10"/>
      <c r="Q45" s="10"/>
      <c r="R45" s="10"/>
      <c r="S45" s="10"/>
      <c r="T45" s="10"/>
    </row>
    <row r="46" ht="16.5" customHeight="1">
      <c r="B46" s="10"/>
      <c r="C46" s="10"/>
      <c r="D46" s="10"/>
      <c r="E46" s="10"/>
      <c r="F46" s="10"/>
      <c r="G46" s="10"/>
      <c r="H46" s="10"/>
      <c r="I46" s="10"/>
      <c r="J46" s="10"/>
      <c r="K46" s="10"/>
      <c r="L46" s="10"/>
      <c r="M46" s="10"/>
      <c r="N46" s="10"/>
      <c r="O46" s="10"/>
      <c r="P46" s="10"/>
      <c r="Q46" s="10"/>
      <c r="R46" s="10"/>
      <c r="S46" s="10"/>
      <c r="T46" s="10"/>
    </row>
    <row r="47" ht="16.5" customHeight="1">
      <c r="B47" s="10"/>
      <c r="C47" s="10"/>
      <c r="D47" s="10"/>
      <c r="E47" s="10"/>
      <c r="F47" s="10"/>
      <c r="G47" s="10"/>
      <c r="H47" s="10"/>
      <c r="I47" s="10"/>
      <c r="J47" s="10"/>
      <c r="K47" s="10"/>
      <c r="L47" s="10"/>
      <c r="M47" s="10"/>
      <c r="N47" s="10"/>
      <c r="O47" s="10"/>
      <c r="P47" s="10"/>
      <c r="Q47" s="10"/>
      <c r="R47" s="10"/>
      <c r="S47" s="10"/>
      <c r="T47" s="10"/>
    </row>
    <row r="48" ht="16.5" customHeight="1">
      <c r="B48" s="10"/>
      <c r="C48" s="10"/>
      <c r="D48" s="10"/>
      <c r="E48" s="10"/>
      <c r="F48" s="10"/>
      <c r="G48" s="10"/>
      <c r="H48" s="10"/>
      <c r="I48" s="10"/>
      <c r="J48" s="10"/>
      <c r="K48" s="10"/>
      <c r="L48" s="10"/>
      <c r="M48" s="10"/>
      <c r="N48" s="10"/>
      <c r="O48" s="10"/>
      <c r="P48" s="10"/>
      <c r="Q48" s="10"/>
      <c r="R48" s="10"/>
      <c r="S48" s="10"/>
      <c r="T48" s="10"/>
    </row>
    <row r="49" ht="16.5" customHeight="1">
      <c r="B49" s="10"/>
      <c r="C49" s="10"/>
      <c r="D49" s="10"/>
      <c r="E49" s="10"/>
      <c r="F49" s="10"/>
      <c r="G49" s="10"/>
      <c r="H49" s="10"/>
      <c r="I49" s="10"/>
      <c r="J49" s="10"/>
      <c r="K49" s="10"/>
      <c r="L49" s="10"/>
      <c r="M49" s="10"/>
      <c r="N49" s="10"/>
      <c r="O49" s="10"/>
      <c r="P49" s="10"/>
      <c r="Q49" s="10"/>
      <c r="R49" s="10"/>
      <c r="S49" s="10"/>
      <c r="T49" s="10"/>
    </row>
    <row r="50" ht="16.5" customHeight="1">
      <c r="B50" s="10"/>
      <c r="C50" s="10"/>
      <c r="D50" s="10"/>
      <c r="E50" s="10"/>
      <c r="F50" s="10"/>
      <c r="G50" s="10"/>
      <c r="H50" s="10"/>
      <c r="I50" s="10"/>
      <c r="J50" s="10"/>
      <c r="K50" s="10"/>
      <c r="L50" s="10"/>
      <c r="M50" s="10"/>
      <c r="N50" s="10"/>
      <c r="O50" s="10"/>
      <c r="P50" s="10"/>
      <c r="Q50" s="10"/>
      <c r="R50" s="10"/>
      <c r="S50" s="10"/>
      <c r="T50" s="10"/>
    </row>
    <row r="51" ht="16.5" customHeight="1">
      <c r="B51" s="10"/>
      <c r="C51" s="10"/>
      <c r="D51" s="10"/>
      <c r="E51" s="10"/>
      <c r="F51" s="10"/>
      <c r="G51" s="10"/>
      <c r="H51" s="10"/>
      <c r="I51" s="10"/>
      <c r="J51" s="10"/>
      <c r="K51" s="10"/>
      <c r="L51" s="10"/>
      <c r="M51" s="10"/>
      <c r="N51" s="10"/>
      <c r="O51" s="10"/>
      <c r="P51" s="10"/>
      <c r="Q51" s="10"/>
      <c r="R51" s="10"/>
      <c r="S51" s="10"/>
      <c r="T51" s="10"/>
    </row>
    <row r="52" ht="16.5" customHeight="1">
      <c r="B52" s="10"/>
      <c r="C52" s="10"/>
      <c r="D52" s="10"/>
      <c r="E52" s="10"/>
      <c r="F52" s="10"/>
      <c r="G52" s="10"/>
      <c r="H52" s="10"/>
      <c r="I52" s="10"/>
      <c r="J52" s="10"/>
      <c r="K52" s="10"/>
      <c r="L52" s="10"/>
      <c r="M52" s="10"/>
      <c r="N52" s="10"/>
      <c r="O52" s="10"/>
      <c r="P52" s="10"/>
      <c r="Q52" s="10"/>
      <c r="R52" s="10"/>
      <c r="S52" s="10"/>
      <c r="T52" s="10"/>
    </row>
    <row r="53" ht="16.5" customHeight="1">
      <c r="B53" s="10"/>
      <c r="C53" s="10"/>
      <c r="D53" s="10"/>
      <c r="E53" s="10"/>
      <c r="F53" s="10"/>
      <c r="G53" s="10"/>
      <c r="H53" s="10"/>
      <c r="I53" s="10"/>
      <c r="J53" s="10"/>
      <c r="K53" s="10"/>
      <c r="L53" s="10"/>
      <c r="M53" s="10"/>
      <c r="N53" s="10"/>
      <c r="O53" s="10"/>
      <c r="P53" s="10"/>
      <c r="Q53" s="10"/>
      <c r="R53" s="10"/>
      <c r="S53" s="10"/>
      <c r="T53" s="10"/>
    </row>
    <row r="54" ht="16.5" customHeight="1">
      <c r="B54" s="10"/>
      <c r="C54" s="10"/>
      <c r="D54" s="10"/>
      <c r="E54" s="10"/>
      <c r="F54" s="10"/>
      <c r="G54" s="10"/>
      <c r="H54" s="10"/>
      <c r="I54" s="10"/>
      <c r="J54" s="10"/>
      <c r="K54" s="10"/>
      <c r="L54" s="10"/>
      <c r="M54" s="10"/>
      <c r="N54" s="10"/>
      <c r="O54" s="10"/>
      <c r="P54" s="10"/>
      <c r="Q54" s="10"/>
      <c r="R54" s="10"/>
      <c r="S54" s="10"/>
      <c r="T54" s="10"/>
    </row>
    <row r="55" ht="16.5" customHeight="1">
      <c r="B55" s="10"/>
      <c r="C55" s="10"/>
      <c r="D55" s="10"/>
      <c r="E55" s="10"/>
      <c r="F55" s="10"/>
      <c r="G55" s="10"/>
      <c r="H55" s="10"/>
      <c r="I55" s="10"/>
      <c r="J55" s="10"/>
      <c r="K55" s="10"/>
      <c r="L55" s="10"/>
      <c r="M55" s="10"/>
      <c r="N55" s="10"/>
      <c r="O55" s="10"/>
      <c r="P55" s="10"/>
      <c r="Q55" s="10"/>
      <c r="R55" s="10"/>
      <c r="S55" s="10"/>
      <c r="T55" s="10"/>
    </row>
    <row r="56" ht="16.5" customHeight="1">
      <c r="A56" s="10"/>
      <c r="B56" s="10"/>
      <c r="C56" s="10"/>
      <c r="D56" s="10"/>
      <c r="E56" s="10"/>
      <c r="F56" s="10"/>
      <c r="G56" s="10"/>
      <c r="H56" s="10"/>
      <c r="I56" s="10"/>
      <c r="J56" s="10"/>
      <c r="K56" s="10"/>
      <c r="L56" s="10"/>
      <c r="M56" s="10"/>
      <c r="N56" s="10"/>
      <c r="O56" s="10"/>
      <c r="P56" s="10"/>
      <c r="Q56" s="10"/>
      <c r="R56" s="10"/>
      <c r="S56" s="10"/>
      <c r="T56" s="10"/>
    </row>
    <row r="57" ht="16.5" customHeight="1">
      <c r="A57" s="10"/>
      <c r="B57" s="10"/>
      <c r="C57" s="10"/>
      <c r="D57" s="10"/>
      <c r="E57" s="10"/>
      <c r="F57" s="10"/>
      <c r="G57" s="10"/>
      <c r="H57" s="10"/>
      <c r="I57" s="10"/>
      <c r="J57" s="10"/>
      <c r="K57" s="10"/>
      <c r="L57" s="10"/>
      <c r="M57" s="10"/>
      <c r="N57" s="10"/>
      <c r="O57" s="10"/>
      <c r="P57" s="10"/>
      <c r="Q57" s="10"/>
      <c r="R57" s="10"/>
      <c r="S57" s="10"/>
      <c r="T57" s="10"/>
    </row>
    <row r="58" ht="16.5" customHeight="1">
      <c r="A58" s="10"/>
      <c r="B58" s="10"/>
      <c r="C58" s="10"/>
      <c r="D58" s="10"/>
      <c r="E58" s="10"/>
      <c r="F58" s="10"/>
      <c r="G58" s="10"/>
      <c r="H58" s="10"/>
      <c r="I58" s="10"/>
      <c r="J58" s="10"/>
      <c r="K58" s="10"/>
      <c r="L58" s="10"/>
      <c r="M58" s="10"/>
      <c r="N58" s="10"/>
      <c r="O58" s="10"/>
      <c r="P58" s="10"/>
      <c r="Q58" s="10"/>
      <c r="R58" s="10"/>
      <c r="S58" s="10"/>
      <c r="T58" s="10"/>
    </row>
    <row r="59" ht="16.5" customHeight="1">
      <c r="B59" s="10"/>
      <c r="C59" s="10"/>
      <c r="D59" s="10"/>
      <c r="E59" s="10"/>
      <c r="F59" s="10"/>
      <c r="G59" s="10"/>
      <c r="H59" s="10"/>
      <c r="I59" s="10"/>
      <c r="J59" s="10"/>
      <c r="K59" s="10"/>
      <c r="L59" s="10"/>
      <c r="M59" s="10"/>
      <c r="N59" s="10"/>
      <c r="O59" s="10"/>
      <c r="P59" s="10"/>
      <c r="Q59" s="10"/>
      <c r="R59" s="10"/>
      <c r="S59" s="10"/>
      <c r="T59" s="10"/>
    </row>
    <row r="60" ht="16.5" customHeight="1">
      <c r="B60" s="10"/>
      <c r="C60" s="10"/>
      <c r="D60" s="10"/>
      <c r="E60" s="10"/>
      <c r="F60" s="10"/>
      <c r="G60" s="10"/>
      <c r="H60" s="10"/>
      <c r="I60" s="10"/>
      <c r="J60" s="10"/>
      <c r="K60" s="10"/>
      <c r="L60" s="10"/>
      <c r="M60" s="10"/>
      <c r="N60" s="10"/>
      <c r="O60" s="10"/>
      <c r="P60" s="10"/>
      <c r="Q60" s="10"/>
      <c r="R60" s="10"/>
      <c r="S60" s="10"/>
      <c r="T60" s="10"/>
    </row>
    <row r="61" ht="16.5" customHeight="1">
      <c r="B61" s="10"/>
      <c r="C61" s="10"/>
      <c r="D61" s="10"/>
      <c r="E61" s="10"/>
      <c r="F61" s="10"/>
      <c r="G61" s="10"/>
      <c r="H61" s="10"/>
      <c r="I61" s="10"/>
      <c r="J61" s="10"/>
      <c r="K61" s="10"/>
      <c r="L61" s="10"/>
      <c r="M61" s="10"/>
      <c r="N61" s="10"/>
      <c r="O61" s="10"/>
      <c r="P61" s="10"/>
      <c r="Q61" s="10"/>
      <c r="R61" s="10"/>
      <c r="S61" s="10"/>
      <c r="T61" s="10"/>
    </row>
    <row r="62" ht="16.5" customHeight="1">
      <c r="B62" s="10"/>
      <c r="C62" s="10"/>
      <c r="D62" s="10"/>
      <c r="E62" s="10"/>
      <c r="F62" s="10"/>
      <c r="G62" s="10"/>
      <c r="H62" s="10"/>
      <c r="I62" s="10"/>
      <c r="J62" s="10"/>
      <c r="K62" s="10"/>
      <c r="L62" s="10"/>
      <c r="M62" s="10"/>
      <c r="N62" s="10"/>
      <c r="O62" s="10"/>
      <c r="P62" s="10"/>
      <c r="Q62" s="10"/>
      <c r="R62" s="10"/>
      <c r="S62" s="10"/>
      <c r="T62" s="10"/>
    </row>
    <row r="63" ht="16.5" customHeight="1">
      <c r="B63" s="10"/>
      <c r="C63" s="10"/>
      <c r="D63" s="10"/>
      <c r="E63" s="10"/>
      <c r="F63" s="10"/>
      <c r="G63" s="10"/>
      <c r="H63" s="10"/>
      <c r="I63" s="10"/>
      <c r="J63" s="10"/>
      <c r="K63" s="10"/>
      <c r="L63" s="10"/>
      <c r="M63" s="10"/>
      <c r="N63" s="10"/>
      <c r="O63" s="10"/>
      <c r="P63" s="10"/>
      <c r="Q63" s="10"/>
      <c r="R63" s="10"/>
      <c r="S63" s="10"/>
      <c r="T63" s="10"/>
    </row>
    <row r="64" ht="16.5" customHeight="1">
      <c r="A64" s="10"/>
      <c r="B64" s="10"/>
      <c r="C64" s="10"/>
      <c r="D64" s="10"/>
      <c r="E64" s="10"/>
      <c r="F64" s="10"/>
      <c r="G64" s="10"/>
      <c r="H64" s="10"/>
      <c r="I64" s="10"/>
      <c r="J64" s="10"/>
      <c r="K64" s="10"/>
      <c r="L64" s="10"/>
      <c r="M64" s="10"/>
      <c r="N64" s="10"/>
      <c r="O64" s="10"/>
      <c r="P64" s="10"/>
      <c r="Q64" s="10"/>
      <c r="R64" s="10"/>
      <c r="S64" s="10"/>
      <c r="T64" s="10"/>
    </row>
    <row r="65" ht="16.5" customHeight="1">
      <c r="A65" s="10"/>
      <c r="B65" s="10"/>
      <c r="C65" s="10"/>
      <c r="D65" s="10"/>
      <c r="E65" s="10"/>
      <c r="F65" s="10"/>
      <c r="G65" s="10"/>
      <c r="H65" s="10"/>
      <c r="I65" s="10"/>
      <c r="J65" s="10"/>
      <c r="K65" s="10"/>
      <c r="L65" s="10"/>
      <c r="M65" s="10"/>
      <c r="N65" s="10"/>
      <c r="O65" s="10"/>
      <c r="P65" s="10"/>
      <c r="Q65" s="10"/>
      <c r="R65" s="10"/>
      <c r="S65" s="10"/>
      <c r="T65" s="10"/>
    </row>
    <row r="66" ht="16.5" customHeight="1">
      <c r="A66" s="10"/>
      <c r="B66" s="10"/>
      <c r="C66" s="10"/>
      <c r="D66" s="10"/>
      <c r="E66" s="10"/>
      <c r="F66" s="10"/>
      <c r="G66" s="10"/>
      <c r="H66" s="10"/>
      <c r="I66" s="10"/>
      <c r="J66" s="10"/>
      <c r="K66" s="10"/>
      <c r="L66" s="10"/>
      <c r="M66" s="10"/>
      <c r="N66" s="10"/>
      <c r="O66" s="10"/>
      <c r="P66" s="10"/>
      <c r="Q66" s="10"/>
      <c r="R66" s="10"/>
      <c r="S66" s="10"/>
      <c r="T66" s="10"/>
    </row>
    <row r="67" ht="16.5" customHeight="1">
      <c r="A67" s="10"/>
      <c r="B67" s="10"/>
      <c r="C67" s="10"/>
      <c r="D67" s="10"/>
      <c r="E67" s="10"/>
      <c r="F67" s="10"/>
      <c r="G67" s="10"/>
      <c r="H67" s="10"/>
      <c r="I67" s="10"/>
      <c r="J67" s="10"/>
      <c r="K67" s="10"/>
      <c r="L67" s="10"/>
      <c r="M67" s="10"/>
      <c r="N67" s="10"/>
      <c r="O67" s="10"/>
      <c r="P67" s="10"/>
      <c r="Q67" s="10"/>
      <c r="R67" s="10"/>
      <c r="S67" s="10"/>
      <c r="T67" s="10"/>
    </row>
    <row r="68" ht="16.5" customHeight="1">
      <c r="A68" s="10"/>
      <c r="B68" s="10"/>
      <c r="C68" s="10"/>
      <c r="D68" s="10"/>
      <c r="E68" s="10"/>
      <c r="F68" s="10"/>
      <c r="G68" s="10"/>
      <c r="H68" s="10"/>
      <c r="I68" s="10"/>
      <c r="J68" s="10"/>
      <c r="K68" s="10"/>
      <c r="L68" s="10"/>
      <c r="M68" s="10"/>
      <c r="N68" s="10"/>
      <c r="O68" s="10"/>
      <c r="P68" s="10"/>
      <c r="Q68" s="10"/>
      <c r="R68" s="10"/>
      <c r="S68" s="10"/>
      <c r="T68" s="10"/>
    </row>
    <row r="69" ht="16.5" customHeight="1">
      <c r="A69" s="10"/>
      <c r="B69" s="10"/>
      <c r="C69" s="10"/>
      <c r="D69" s="10"/>
      <c r="E69" s="10"/>
      <c r="F69" s="10"/>
      <c r="G69" s="10"/>
      <c r="H69" s="10"/>
      <c r="I69" s="10"/>
      <c r="J69" s="10"/>
      <c r="K69" s="10"/>
      <c r="L69" s="10"/>
      <c r="M69" s="10"/>
      <c r="N69" s="10"/>
      <c r="O69" s="10"/>
      <c r="P69" s="10"/>
      <c r="Q69" s="10"/>
      <c r="R69" s="10"/>
      <c r="S69" s="10"/>
      <c r="T69" s="10"/>
    </row>
    <row r="70" ht="16.5" customHeight="1">
      <c r="B70" s="10"/>
      <c r="C70" s="10"/>
      <c r="D70" s="10"/>
      <c r="E70" s="10"/>
      <c r="F70" s="10"/>
      <c r="G70" s="10"/>
      <c r="H70" s="10"/>
      <c r="I70" s="10"/>
      <c r="J70" s="10"/>
      <c r="K70" s="10"/>
      <c r="L70" s="10"/>
      <c r="M70" s="10"/>
      <c r="N70" s="10"/>
      <c r="O70" s="10"/>
      <c r="P70" s="10"/>
      <c r="Q70" s="10"/>
      <c r="R70" s="10"/>
      <c r="S70" s="10"/>
      <c r="T70" s="10"/>
    </row>
    <row r="71" ht="16.5" customHeight="1">
      <c r="A71" s="10"/>
      <c r="B71" s="10"/>
      <c r="C71" s="10"/>
      <c r="D71" s="10"/>
      <c r="E71" s="10"/>
      <c r="F71" s="10"/>
      <c r="G71" s="10"/>
      <c r="H71" s="10"/>
      <c r="I71" s="10"/>
      <c r="J71" s="10"/>
      <c r="K71" s="10"/>
      <c r="L71" s="10"/>
      <c r="M71" s="10"/>
      <c r="N71" s="10"/>
      <c r="O71" s="10"/>
      <c r="P71" s="10"/>
      <c r="Q71" s="10"/>
      <c r="R71" s="10"/>
      <c r="S71" s="10"/>
      <c r="T71" s="10"/>
    </row>
    <row r="72" ht="16.5" customHeight="1">
      <c r="A72" s="10"/>
      <c r="B72" s="10"/>
      <c r="C72" s="10"/>
      <c r="D72" s="10"/>
      <c r="E72" s="10"/>
      <c r="F72" s="10"/>
      <c r="G72" s="10"/>
      <c r="H72" s="10"/>
      <c r="I72" s="10"/>
      <c r="J72" s="10"/>
      <c r="K72" s="10"/>
      <c r="L72" s="10"/>
      <c r="M72" s="10"/>
      <c r="N72" s="10"/>
      <c r="O72" s="10"/>
      <c r="P72" s="10"/>
      <c r="Q72" s="10"/>
      <c r="R72" s="10"/>
      <c r="S72" s="10"/>
      <c r="T72" s="10"/>
    </row>
    <row r="73" ht="16.5" customHeight="1">
      <c r="A73" s="10"/>
      <c r="B73" s="10"/>
      <c r="C73" s="10"/>
      <c r="D73" s="10"/>
      <c r="E73" s="10"/>
      <c r="F73" s="10"/>
      <c r="G73" s="10"/>
      <c r="H73" s="10"/>
      <c r="I73" s="10"/>
      <c r="J73" s="10"/>
      <c r="K73" s="10"/>
      <c r="L73" s="10"/>
      <c r="M73" s="10"/>
      <c r="N73" s="10"/>
      <c r="O73" s="10"/>
      <c r="P73" s="10"/>
      <c r="Q73" s="10"/>
      <c r="R73" s="10"/>
      <c r="S73" s="10"/>
      <c r="T73" s="10"/>
    </row>
    <row r="74" ht="16.5" customHeight="1">
      <c r="A74" s="10"/>
      <c r="B74" s="10"/>
      <c r="C74" s="10"/>
      <c r="D74" s="10"/>
      <c r="E74" s="10"/>
      <c r="F74" s="10"/>
      <c r="G74" s="10"/>
      <c r="H74" s="10"/>
      <c r="I74" s="10"/>
      <c r="J74" s="10"/>
      <c r="K74" s="10"/>
      <c r="L74" s="10"/>
      <c r="M74" s="10"/>
      <c r="N74" s="10"/>
      <c r="O74" s="10"/>
      <c r="P74" s="10"/>
      <c r="Q74" s="10"/>
      <c r="R74" s="10"/>
      <c r="S74" s="10"/>
      <c r="T74" s="10"/>
    </row>
    <row r="75" ht="16.5" customHeight="1">
      <c r="A75" s="10"/>
      <c r="B75" s="10"/>
      <c r="C75" s="10"/>
      <c r="D75" s="10"/>
      <c r="E75" s="10"/>
      <c r="F75" s="10"/>
      <c r="G75" s="10"/>
      <c r="H75" s="10"/>
      <c r="I75" s="10"/>
      <c r="J75" s="10"/>
      <c r="K75" s="10"/>
      <c r="L75" s="10"/>
      <c r="M75" s="10"/>
      <c r="N75" s="10"/>
      <c r="O75" s="10"/>
      <c r="P75" s="10"/>
      <c r="Q75" s="10"/>
      <c r="R75" s="10"/>
      <c r="S75" s="10"/>
      <c r="T75" s="10"/>
    </row>
    <row r="76" ht="16.5" customHeight="1">
      <c r="A76" s="10"/>
      <c r="B76" s="10"/>
      <c r="C76" s="10"/>
      <c r="D76" s="10"/>
      <c r="E76" s="10"/>
      <c r="F76" s="10"/>
      <c r="G76" s="10"/>
      <c r="H76" s="10"/>
      <c r="I76" s="10"/>
      <c r="J76" s="10"/>
      <c r="K76" s="10"/>
      <c r="L76" s="10"/>
      <c r="M76" s="10"/>
      <c r="N76" s="10"/>
      <c r="O76" s="10"/>
      <c r="P76" s="10"/>
      <c r="Q76" s="10"/>
      <c r="R76" s="10"/>
      <c r="S76" s="10"/>
      <c r="T76" s="10"/>
    </row>
    <row r="77" ht="16.5" customHeight="1">
      <c r="A77" s="10"/>
      <c r="B77" s="10"/>
      <c r="C77" s="10"/>
      <c r="D77" s="10"/>
      <c r="E77" s="10"/>
      <c r="F77" s="10"/>
      <c r="G77" s="10"/>
      <c r="H77" s="10"/>
      <c r="I77" s="10"/>
      <c r="J77" s="10"/>
      <c r="K77" s="10"/>
      <c r="L77" s="10"/>
      <c r="M77" s="10"/>
      <c r="N77" s="10"/>
      <c r="O77" s="10"/>
      <c r="P77" s="10"/>
      <c r="Q77" s="10"/>
      <c r="R77" s="10"/>
      <c r="S77" s="10"/>
      <c r="T77" s="10"/>
    </row>
    <row r="78" ht="16.5" customHeight="1">
      <c r="A78" s="10"/>
      <c r="B78" s="10"/>
      <c r="C78" s="10"/>
      <c r="D78" s="10"/>
      <c r="E78" s="10"/>
      <c r="F78" s="10"/>
      <c r="G78" s="10"/>
      <c r="H78" s="10"/>
      <c r="I78" s="10"/>
      <c r="J78" s="10"/>
      <c r="K78" s="10"/>
      <c r="L78" s="10"/>
      <c r="M78" s="10"/>
      <c r="N78" s="10"/>
      <c r="O78" s="10"/>
      <c r="P78" s="10"/>
      <c r="Q78" s="10"/>
      <c r="R78" s="10"/>
      <c r="S78" s="10"/>
      <c r="T78" s="10"/>
    </row>
    <row r="79" ht="16.5" customHeight="1">
      <c r="A79" s="10"/>
      <c r="B79" s="10"/>
      <c r="C79" s="10"/>
      <c r="D79" s="10"/>
      <c r="E79" s="10"/>
      <c r="F79" s="10"/>
      <c r="G79" s="10"/>
      <c r="H79" s="10"/>
      <c r="I79" s="10"/>
      <c r="J79" s="10"/>
      <c r="K79" s="10"/>
      <c r="L79" s="10"/>
      <c r="M79" s="10"/>
      <c r="N79" s="10"/>
      <c r="O79" s="10"/>
      <c r="P79" s="10"/>
      <c r="Q79" s="10"/>
      <c r="R79" s="10"/>
      <c r="S79" s="10"/>
      <c r="T79" s="10"/>
    </row>
    <row r="80" ht="16.5" customHeight="1">
      <c r="A80" s="10"/>
      <c r="B80" s="10"/>
      <c r="C80" s="10"/>
      <c r="D80" s="10"/>
      <c r="E80" s="10"/>
      <c r="F80" s="10"/>
      <c r="G80" s="10"/>
      <c r="H80" s="10"/>
      <c r="I80" s="10"/>
      <c r="J80" s="10"/>
      <c r="K80" s="10"/>
      <c r="L80" s="10"/>
      <c r="M80" s="10"/>
      <c r="N80" s="10"/>
      <c r="O80" s="10"/>
      <c r="P80" s="10"/>
      <c r="Q80" s="10"/>
      <c r="R80" s="10"/>
      <c r="S80" s="10"/>
      <c r="T80" s="10"/>
    </row>
    <row r="81" ht="16.5" customHeight="1">
      <c r="A81" s="10"/>
      <c r="B81" s="10"/>
      <c r="C81" s="10"/>
      <c r="D81" s="10"/>
      <c r="E81" s="10"/>
      <c r="F81" s="10"/>
      <c r="G81" s="10"/>
      <c r="H81" s="10"/>
      <c r="I81" s="10"/>
      <c r="J81" s="10"/>
      <c r="K81" s="10"/>
      <c r="L81" s="10"/>
      <c r="M81" s="10"/>
      <c r="N81" s="10"/>
      <c r="O81" s="10"/>
      <c r="P81" s="10"/>
      <c r="Q81" s="10"/>
      <c r="R81" s="10"/>
      <c r="S81" s="10"/>
      <c r="T81" s="10"/>
    </row>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row r="1002" ht="16.5" customHeight="1"/>
    <row r="1003" ht="16.5" customHeight="1"/>
    <row r="1004" ht="16.5" customHeight="1"/>
    <row r="1005" ht="16.5" customHeight="1"/>
    <row r="1006" ht="16.5" customHeight="1"/>
    <row r="1007" ht="16.5" customHeight="1"/>
    <row r="1008" ht="16.5" customHeight="1"/>
    <row r="1009" ht="16.5" customHeight="1"/>
    <row r="1010" ht="16.5" customHeight="1"/>
    <row r="1011" ht="16.5" customHeight="1"/>
    <row r="1012" ht="16.5" customHeight="1"/>
    <row r="1013" ht="16.5" customHeight="1"/>
    <row r="1014" ht="16.5" customHeight="1"/>
    <row r="1015" ht="16.5" customHeight="1"/>
    <row r="1016" ht="16.5" customHeight="1"/>
    <row r="1017" ht="16.5" customHeight="1"/>
    <row r="1018" ht="16.5" customHeight="1"/>
    <row r="1019" ht="16.5" customHeight="1"/>
    <row r="1020" ht="16.5" customHeight="1"/>
    <row r="1021" ht="16.5" customHeight="1"/>
    <row r="1022" ht="16.5" customHeight="1"/>
    <row r="1023" ht="16.5" customHeight="1"/>
    <row r="1024" ht="16.5" customHeight="1"/>
    <row r="1025" ht="16.5" customHeight="1"/>
    <row r="1026" ht="16.5" customHeight="1"/>
    <row r="1027" ht="16.5" customHeight="1"/>
    <row r="1028" ht="16.5" customHeight="1"/>
    <row r="1029" ht="16.5" customHeight="1"/>
    <row r="1030" ht="16.5" customHeight="1"/>
    <row r="1031" ht="16.5" customHeight="1"/>
    <row r="1032" ht="16.5" customHeight="1"/>
    <row r="1033" ht="16.5" customHeight="1"/>
    <row r="1034" ht="16.5" customHeight="1"/>
    <row r="1035" ht="16.5" customHeight="1"/>
    <row r="1036" ht="16.5" customHeight="1"/>
    <row r="1037" ht="16.5" customHeight="1"/>
  </sheetData>
  <mergeCells count="2">
    <mergeCell ref="A1:T1"/>
    <mergeCell ref="A2:T2"/>
  </mergeCells>
  <dataValidations>
    <dataValidation type="list" allowBlank="1" sqref="L5:L81">
      <formula1>"Instructor decides,Faculty/Inst. decides,Gov-mandated,Hybrid/Mixed,Not specified"</formula1>
    </dataValidation>
    <dataValidation type="list" allowBlank="1" sqref="P5:P81">
      <formula1>"Students only,Faculty only,Both,Researchers,All community"</formula1>
    </dataValidation>
    <dataValidation type="list" allowBlank="1" sqref="J5:J81">
      <formula1>"Prohibitive,Cautious,Encouraging,Silent,Functional,Not Specified"</formula1>
    </dataValidation>
    <dataValidation type="list" allowBlank="1" sqref="K5:K81">
      <formula1>"Required,Recommended,Not specified,Conditional"</formula1>
    </dataValidation>
    <dataValidation type="list" allowBlank="1" sqref="G5:G81">
      <formula1>"Law/Regulation,Executive Order,Official Guidance,University Policy,Library Guide,Syllabus,FAQ/Resource Page,Syllabus Library,Other"</formula1>
    </dataValidation>
    <dataValidation type="list" allowBlank="1" sqref="M5:N81">
      <formula1>"Academic Integrity,AI Literacy,Privacy/Data/Ethics,Equity,Pedagogy/Learning,Professional Readiness,Not specified"</formula1>
    </dataValidation>
    <dataValidation type="list" allowBlank="1" sqref="O5:O81">
      <formula1>"Explicit penalties,Referenced to integrity code,Guidance only,None stated"</formula1>
    </dataValidation>
    <dataValidation type="list" allowBlank="1" sqref="B5:B81">
      <formula1>"National/Federal,State/Territory,Institutional,Faculty/School,Course-wide"</formula1>
    </dataValidation>
    <dataValidation type="list" allowBlank="1" sqref="C5:C81">
      <formula1>"NYC,Hong Kong"</formula1>
    </dataValidation>
  </dataValidations>
  <hyperlinks>
    <hyperlink r:id="rId2" ref="I5"/>
    <hyperlink r:id="rId3" ref="I6"/>
    <hyperlink r:id="rId4" ref="I7"/>
    <hyperlink r:id="rId5" ref="I8"/>
    <hyperlink r:id="rId6" ref="I9"/>
    <hyperlink r:id="rId7" ref="I10"/>
    <hyperlink r:id="rId8" ref="I11"/>
    <hyperlink r:id="rId9" ref="I12"/>
    <hyperlink r:id="rId10" ref="I13"/>
    <hyperlink r:id="rId11" ref="I14"/>
    <hyperlink r:id="rId12" ref="I15"/>
    <hyperlink r:id="rId13" ref="I16"/>
    <hyperlink r:id="rId14" ref="I17"/>
    <hyperlink r:id="rId15" ref="I18"/>
    <hyperlink r:id="rId16" ref="I19"/>
    <hyperlink r:id="rId17" ref="I20"/>
    <hyperlink r:id="rId18" ref="I21"/>
    <hyperlink r:id="rId19" ref="I22"/>
    <hyperlink r:id="rId20" ref="I23"/>
    <hyperlink r:id="rId21" ref="I24"/>
    <hyperlink r:id="rId22" ref="I25"/>
    <hyperlink r:id="rId23" ref="I26"/>
    <hyperlink r:id="rId24" ref="I27"/>
    <hyperlink r:id="rId25" ref="I28"/>
    <hyperlink r:id="rId26" ref="I29"/>
    <hyperlink r:id="rId27" ref="I30"/>
    <hyperlink r:id="rId28" ref="I31"/>
    <hyperlink r:id="rId29" ref="I32"/>
    <hyperlink r:id="rId30" ref="I33"/>
    <hyperlink r:id="rId31" ref="I34"/>
    <hyperlink r:id="rId32" ref="I35"/>
    <hyperlink r:id="rId33" ref="I36"/>
    <hyperlink r:id="rId34" ref="I37"/>
    <hyperlink r:id="rId35" ref="I38"/>
    <hyperlink r:id="rId36" ref="I39"/>
    <hyperlink r:id="rId37" ref="I40"/>
    <hyperlink r:id="rId38" ref="I41"/>
    <hyperlink r:id="rId39" ref="I42"/>
    <hyperlink r:id="rId40" ref="I43"/>
    <hyperlink r:id="rId41" ref="I44"/>
  </hyperlinks>
  <printOptions/>
  <pageMargins bottom="1.0" footer="0.0" header="0.0" left="0.75" right="0.75" top="1.0"/>
  <pageSetup paperSize="9" orientation="portrait"/>
  <drawing r:id="rId42"/>
  <legacyDrawing r:id="rId4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2.0"/>
    <col customWidth="1" min="2" max="2" width="16.0"/>
    <col customWidth="1" min="3" max="3" width="12.0"/>
    <col customWidth="1" min="4" max="4" width="24.0"/>
    <col customWidth="1" min="5" max="5" width="11.29"/>
    <col customWidth="1" min="6" max="6" width="32.0"/>
    <col customWidth="1" min="7" max="7" width="18.0"/>
    <col customWidth="1" min="8" max="8" width="13.0"/>
    <col customWidth="1" min="9" max="9" width="28.0"/>
    <col customWidth="1" min="10" max="10" width="14.0"/>
    <col customWidth="1" min="11" max="11" width="15.0"/>
    <col customWidth="1" min="12" max="12" width="20.0"/>
    <col customWidth="1" min="13" max="14" width="18.0"/>
    <col customWidth="1" min="15" max="15" width="22.0"/>
    <col customWidth="1" min="16" max="16" width="20.0"/>
    <col customWidth="1" min="17" max="17" width="45.0"/>
    <col customWidth="1" min="18" max="18" width="28.0"/>
    <col customWidth="1" min="19" max="19" width="12.0"/>
    <col customWidth="1" min="20" max="20" width="13.0"/>
    <col customWidth="1" min="21" max="21" width="34.71"/>
    <col customWidth="1" min="22" max="27" width="8.71"/>
  </cols>
  <sheetData>
    <row r="1" ht="16.5" customHeight="1">
      <c r="A1" s="1" t="s">
        <v>0</v>
      </c>
    </row>
    <row r="2" ht="16.5" customHeight="1">
      <c r="A2" s="2"/>
    </row>
    <row r="3" ht="16.5" customHeight="1">
      <c r="A3" s="3"/>
      <c r="B3" s="4"/>
      <c r="C3" s="4"/>
      <c r="D3" s="4"/>
      <c r="E3" s="4"/>
      <c r="F3" s="4"/>
      <c r="G3" s="4"/>
      <c r="H3" s="4"/>
      <c r="I3" s="4"/>
      <c r="J3" s="4"/>
      <c r="K3" s="4"/>
      <c r="L3" s="4"/>
      <c r="M3" s="4"/>
      <c r="N3" s="4"/>
      <c r="O3" s="4"/>
      <c r="P3" s="4"/>
      <c r="Q3" s="4"/>
      <c r="R3" s="4"/>
      <c r="S3" s="4"/>
      <c r="T3" s="4"/>
      <c r="U3" s="5"/>
    </row>
    <row r="4" ht="37.5" customHeight="1">
      <c r="A4" s="6" t="s">
        <v>1</v>
      </c>
      <c r="B4" s="7" t="s">
        <v>2</v>
      </c>
      <c r="C4" s="7" t="s">
        <v>3</v>
      </c>
      <c r="D4" s="7" t="s">
        <v>4</v>
      </c>
      <c r="E4" s="7" t="s">
        <v>5</v>
      </c>
      <c r="F4" s="7" t="s">
        <v>6</v>
      </c>
      <c r="G4" s="7" t="s">
        <v>7</v>
      </c>
      <c r="H4" s="7" t="s">
        <v>8</v>
      </c>
      <c r="I4" s="7" t="s">
        <v>9</v>
      </c>
      <c r="J4" s="7" t="s">
        <v>10</v>
      </c>
      <c r="K4" s="7" t="s">
        <v>11</v>
      </c>
      <c r="L4" s="7" t="s">
        <v>12</v>
      </c>
      <c r="M4" s="7" t="s">
        <v>13</v>
      </c>
      <c r="N4" s="7" t="s">
        <v>14</v>
      </c>
      <c r="O4" s="7" t="s">
        <v>15</v>
      </c>
      <c r="P4" s="7" t="s">
        <v>16</v>
      </c>
      <c r="Q4" s="21" t="s">
        <v>17</v>
      </c>
      <c r="R4" s="7" t="s">
        <v>18</v>
      </c>
      <c r="S4" s="7" t="s">
        <v>19</v>
      </c>
      <c r="T4" s="7" t="s">
        <v>20</v>
      </c>
      <c r="U4" s="22" t="s">
        <v>267</v>
      </c>
    </row>
    <row r="5" ht="16.5" customHeight="1">
      <c r="A5" s="23" t="s">
        <v>22</v>
      </c>
      <c r="B5" s="24" t="s">
        <v>23</v>
      </c>
      <c r="C5" s="24" t="s">
        <v>24</v>
      </c>
      <c r="D5" s="24" t="s">
        <v>268</v>
      </c>
      <c r="E5" s="24"/>
      <c r="F5" s="24" t="s">
        <v>269</v>
      </c>
      <c r="G5" s="24" t="s">
        <v>51</v>
      </c>
      <c r="H5" s="25">
        <v>46376.0</v>
      </c>
      <c r="I5" s="26" t="s">
        <v>270</v>
      </c>
      <c r="J5" s="24" t="s">
        <v>29</v>
      </c>
      <c r="K5" s="24" t="s">
        <v>30</v>
      </c>
      <c r="L5" s="24" t="s">
        <v>31</v>
      </c>
      <c r="M5" s="24" t="s">
        <v>33</v>
      </c>
      <c r="N5" s="24" t="s">
        <v>45</v>
      </c>
      <c r="O5" s="24" t="s">
        <v>34</v>
      </c>
      <c r="P5" s="24" t="s">
        <v>271</v>
      </c>
      <c r="Q5" s="27" t="s">
        <v>272</v>
      </c>
      <c r="R5" s="24"/>
      <c r="S5" s="24" t="s">
        <v>37</v>
      </c>
      <c r="T5" s="28">
        <v>46157.0</v>
      </c>
      <c r="U5" s="29"/>
      <c r="V5" s="30" t="str">
        <f t="array" ref="V5">XLOOKUP($I5,TEST_NYC_Coding!$I$5:$I$44,TEST_NYC_Coding!$A$5:$A$44,"")</f>
        <v/>
      </c>
      <c r="W5" s="29"/>
      <c r="X5" s="29"/>
      <c r="Y5" s="29"/>
      <c r="Z5" s="29"/>
      <c r="AA5" s="29"/>
    </row>
    <row r="6" ht="16.5" customHeight="1">
      <c r="A6" s="23" t="s">
        <v>38</v>
      </c>
      <c r="B6" s="24" t="s">
        <v>23</v>
      </c>
      <c r="C6" s="24" t="s">
        <v>24</v>
      </c>
      <c r="D6" s="24" t="s">
        <v>268</v>
      </c>
      <c r="E6" s="24"/>
      <c r="F6" s="24" t="s">
        <v>273</v>
      </c>
      <c r="G6" s="24" t="s">
        <v>51</v>
      </c>
      <c r="H6" s="25">
        <v>45973.0</v>
      </c>
      <c r="I6" s="26" t="s">
        <v>274</v>
      </c>
      <c r="J6" s="24" t="s">
        <v>42</v>
      </c>
      <c r="K6" s="24" t="s">
        <v>30</v>
      </c>
      <c r="L6" s="24" t="s">
        <v>31</v>
      </c>
      <c r="M6" s="24" t="s">
        <v>33</v>
      </c>
      <c r="N6" s="24" t="s">
        <v>45</v>
      </c>
      <c r="O6" s="24" t="s">
        <v>34</v>
      </c>
      <c r="P6" s="24" t="s">
        <v>271</v>
      </c>
      <c r="Q6" s="27" t="s">
        <v>275</v>
      </c>
      <c r="R6" s="24"/>
      <c r="S6" s="24" t="s">
        <v>37</v>
      </c>
      <c r="T6" s="28">
        <v>46157.0</v>
      </c>
      <c r="U6" s="29"/>
      <c r="V6" s="30" t="str">
        <f t="array" ref="V6">XLOOKUP($I6,TEST_NYC_Coding!$I$5:$I$44,TEST_NYC_Coding!$A$5:$A$44,"")</f>
        <v/>
      </c>
      <c r="W6" s="29"/>
      <c r="X6" s="29"/>
      <c r="Y6" s="29"/>
      <c r="Z6" s="29"/>
      <c r="AA6" s="29"/>
    </row>
    <row r="7" ht="16.5" customHeight="1">
      <c r="A7" s="23" t="s">
        <v>48</v>
      </c>
      <c r="B7" s="24" t="s">
        <v>23</v>
      </c>
      <c r="C7" s="24" t="s">
        <v>24</v>
      </c>
      <c r="D7" s="24" t="s">
        <v>276</v>
      </c>
      <c r="E7" s="24"/>
      <c r="F7" s="24" t="s">
        <v>277</v>
      </c>
      <c r="G7" s="24" t="s">
        <v>278</v>
      </c>
      <c r="H7" s="25">
        <v>45942.0</v>
      </c>
      <c r="I7" s="26" t="s">
        <v>279</v>
      </c>
      <c r="J7" s="24" t="s">
        <v>57</v>
      </c>
      <c r="K7" s="24" t="s">
        <v>82</v>
      </c>
      <c r="L7" s="24" t="s">
        <v>31</v>
      </c>
      <c r="M7" s="24" t="s">
        <v>32</v>
      </c>
      <c r="N7" s="24" t="s">
        <v>96</v>
      </c>
      <c r="O7" s="24" t="s">
        <v>97</v>
      </c>
      <c r="P7" s="24" t="s">
        <v>271</v>
      </c>
      <c r="Q7" s="27" t="s">
        <v>280</v>
      </c>
      <c r="R7" s="24"/>
      <c r="S7" s="24" t="s">
        <v>37</v>
      </c>
      <c r="T7" s="28">
        <v>46157.0</v>
      </c>
      <c r="U7" s="29"/>
      <c r="V7" s="30" t="str">
        <f t="array" ref="V7">XLOOKUP($I7,TEST_NYC_Coding!$I$5:$I$44,TEST_NYC_Coding!$A$5:$A$44,"")</f>
        <v/>
      </c>
      <c r="W7" s="29"/>
      <c r="X7" s="29"/>
      <c r="Y7" s="29"/>
      <c r="Z7" s="29"/>
      <c r="AA7" s="29"/>
    </row>
    <row r="8" ht="16.5" customHeight="1">
      <c r="A8" s="23" t="s">
        <v>54</v>
      </c>
      <c r="B8" s="24" t="s">
        <v>23</v>
      </c>
      <c r="C8" s="24" t="s">
        <v>24</v>
      </c>
      <c r="D8" s="24" t="s">
        <v>268</v>
      </c>
      <c r="E8" s="24"/>
      <c r="F8" s="24" t="s">
        <v>281</v>
      </c>
      <c r="G8" s="24" t="s">
        <v>51</v>
      </c>
      <c r="H8" s="25">
        <v>45770.0</v>
      </c>
      <c r="I8" s="26" t="s">
        <v>282</v>
      </c>
      <c r="J8" s="24" t="s">
        <v>42</v>
      </c>
      <c r="K8" s="24" t="s">
        <v>30</v>
      </c>
      <c r="L8" s="24" t="s">
        <v>31</v>
      </c>
      <c r="M8" s="24" t="s">
        <v>33</v>
      </c>
      <c r="N8" s="24" t="s">
        <v>44</v>
      </c>
      <c r="O8" s="24" t="s">
        <v>34</v>
      </c>
      <c r="P8" s="24" t="s">
        <v>271</v>
      </c>
      <c r="Q8" s="27" t="s">
        <v>283</v>
      </c>
      <c r="R8" s="24"/>
      <c r="S8" s="24" t="s">
        <v>37</v>
      </c>
      <c r="T8" s="28">
        <v>46157.0</v>
      </c>
      <c r="U8" s="29"/>
      <c r="V8" s="30" t="str">
        <f t="array" ref="V8">XLOOKUP($I8,TEST_NYC_Coding!$I$5:$I$44,TEST_NYC_Coding!$A$5:$A$44,"")</f>
        <v/>
      </c>
      <c r="W8" s="29"/>
      <c r="X8" s="29"/>
      <c r="Y8" s="29"/>
      <c r="Z8" s="29"/>
      <c r="AA8" s="29"/>
    </row>
    <row r="9" ht="16.5" customHeight="1">
      <c r="A9" s="23" t="s">
        <v>61</v>
      </c>
      <c r="B9" s="24" t="s">
        <v>23</v>
      </c>
      <c r="C9" s="24" t="s">
        <v>24</v>
      </c>
      <c r="D9" s="24" t="s">
        <v>268</v>
      </c>
      <c r="E9" s="24"/>
      <c r="F9" s="24" t="s">
        <v>284</v>
      </c>
      <c r="G9" s="24" t="s">
        <v>51</v>
      </c>
      <c r="H9" s="25">
        <v>46002.0</v>
      </c>
      <c r="I9" s="26" t="s">
        <v>274</v>
      </c>
      <c r="J9" s="24" t="s">
        <v>42</v>
      </c>
      <c r="K9" s="24" t="s">
        <v>30</v>
      </c>
      <c r="L9" s="24" t="s">
        <v>31</v>
      </c>
      <c r="M9" s="24" t="s">
        <v>33</v>
      </c>
      <c r="N9" s="24" t="s">
        <v>32</v>
      </c>
      <c r="O9" s="24" t="s">
        <v>110</v>
      </c>
      <c r="P9" s="24" t="s">
        <v>271</v>
      </c>
      <c r="Q9" s="27" t="s">
        <v>285</v>
      </c>
      <c r="R9" s="24"/>
      <c r="S9" s="24" t="s">
        <v>37</v>
      </c>
      <c r="T9" s="28">
        <v>46157.0</v>
      </c>
      <c r="U9" s="29"/>
      <c r="V9" s="30" t="str">
        <f t="array" ref="V9">XLOOKUP($I9,TEST_NYC_Coding!$I$5:$I$44,TEST_NYC_Coding!$A$5:$A$44,"")</f>
        <v/>
      </c>
      <c r="W9" s="29"/>
      <c r="X9" s="29"/>
      <c r="Y9" s="29"/>
      <c r="Z9" s="29"/>
      <c r="AA9" s="29"/>
    </row>
    <row r="10" ht="16.5" customHeight="1">
      <c r="A10" s="31" t="s">
        <v>67</v>
      </c>
      <c r="B10" s="32" t="s">
        <v>286</v>
      </c>
      <c r="C10" s="32" t="s">
        <v>24</v>
      </c>
      <c r="D10" s="32" t="s">
        <v>287</v>
      </c>
      <c r="E10" s="32" t="s">
        <v>288</v>
      </c>
      <c r="F10" s="32" t="s">
        <v>80</v>
      </c>
      <c r="G10" s="32" t="s">
        <v>27</v>
      </c>
      <c r="H10" s="32" t="s">
        <v>289</v>
      </c>
      <c r="I10" s="33" t="s">
        <v>81</v>
      </c>
      <c r="J10" s="32" t="s">
        <v>57</v>
      </c>
      <c r="K10" s="32" t="s">
        <v>82</v>
      </c>
      <c r="L10" s="32" t="s">
        <v>31</v>
      </c>
      <c r="M10" s="32" t="s">
        <v>32</v>
      </c>
      <c r="N10" s="32" t="s">
        <v>45</v>
      </c>
      <c r="O10" s="32" t="s">
        <v>34</v>
      </c>
      <c r="P10" s="32" t="s">
        <v>271</v>
      </c>
      <c r="Q10" s="34" t="s">
        <v>83</v>
      </c>
      <c r="R10" s="32"/>
      <c r="S10" s="32" t="s">
        <v>37</v>
      </c>
      <c r="T10" s="35"/>
      <c r="U10" s="36"/>
      <c r="V10" s="30" t="str">
        <f t="array" ref="V10">XLOOKUP($I10,TEST_NYC_Coding!$I$5:$I$44,TEST_NYC_Coding!$A$5:$A$44,"")</f>
        <v>NYC-008</v>
      </c>
      <c r="W10" s="36"/>
      <c r="X10" s="36"/>
      <c r="Y10" s="36"/>
      <c r="Z10" s="36"/>
      <c r="AA10" s="36"/>
    </row>
    <row r="11" ht="16.5" customHeight="1">
      <c r="A11" s="31" t="s">
        <v>74</v>
      </c>
      <c r="B11" s="32" t="s">
        <v>286</v>
      </c>
      <c r="C11" s="32" t="s">
        <v>24</v>
      </c>
      <c r="D11" s="32" t="s">
        <v>290</v>
      </c>
      <c r="E11" s="32" t="s">
        <v>288</v>
      </c>
      <c r="F11" s="32" t="s">
        <v>291</v>
      </c>
      <c r="G11" s="32" t="s">
        <v>27</v>
      </c>
      <c r="H11" s="37">
        <v>45352.0</v>
      </c>
      <c r="I11" s="33" t="s">
        <v>292</v>
      </c>
      <c r="J11" s="32" t="s">
        <v>57</v>
      </c>
      <c r="K11" s="32" t="s">
        <v>82</v>
      </c>
      <c r="L11" s="32" t="s">
        <v>31</v>
      </c>
      <c r="M11" s="32" t="s">
        <v>32</v>
      </c>
      <c r="N11" s="32" t="s">
        <v>45</v>
      </c>
      <c r="O11" s="32" t="s">
        <v>97</v>
      </c>
      <c r="P11" s="32" t="s">
        <v>271</v>
      </c>
      <c r="Q11" s="34" t="s">
        <v>293</v>
      </c>
      <c r="R11" s="32"/>
      <c r="S11" s="32" t="s">
        <v>37</v>
      </c>
      <c r="T11" s="35"/>
      <c r="U11" s="36"/>
      <c r="V11" s="30" t="str">
        <f t="array" ref="V11">XLOOKUP($I11,TEST_NYC_Coding!$I$5:$I$44,TEST_NYC_Coding!$A$5:$A$44,"")</f>
        <v/>
      </c>
      <c r="W11" s="36"/>
      <c r="X11" s="36"/>
      <c r="Y11" s="36"/>
      <c r="Z11" s="36"/>
      <c r="AA11" s="36"/>
    </row>
    <row r="12" ht="16.5" customHeight="1">
      <c r="A12" s="31" t="s">
        <v>79</v>
      </c>
      <c r="B12" s="32" t="s">
        <v>286</v>
      </c>
      <c r="C12" s="32" t="s">
        <v>24</v>
      </c>
      <c r="D12" s="32" t="s">
        <v>294</v>
      </c>
      <c r="E12" s="32" t="s">
        <v>288</v>
      </c>
      <c r="F12" s="32" t="s">
        <v>295</v>
      </c>
      <c r="G12" s="32" t="s">
        <v>27</v>
      </c>
      <c r="H12" s="37"/>
      <c r="I12" s="33" t="s">
        <v>296</v>
      </c>
      <c r="J12" s="32" t="s">
        <v>57</v>
      </c>
      <c r="K12" s="32" t="s">
        <v>30</v>
      </c>
      <c r="L12" s="32" t="s">
        <v>31</v>
      </c>
      <c r="M12" s="32" t="s">
        <v>32</v>
      </c>
      <c r="N12" s="32" t="s">
        <v>45</v>
      </c>
      <c r="O12" s="32" t="s">
        <v>34</v>
      </c>
      <c r="P12" s="32" t="s">
        <v>271</v>
      </c>
      <c r="Q12" s="34" t="s">
        <v>297</v>
      </c>
      <c r="R12" s="32"/>
      <c r="S12" s="32" t="s">
        <v>37</v>
      </c>
      <c r="T12" s="35"/>
      <c r="U12" s="36"/>
      <c r="V12" s="30" t="str">
        <f t="array" ref="V12">XLOOKUP($I12,TEST_NYC_Coding!$I$5:$I$44,TEST_NYC_Coding!$A$5:$A$44,"")</f>
        <v/>
      </c>
      <c r="W12" s="36"/>
      <c r="X12" s="36"/>
      <c r="Y12" s="36"/>
      <c r="Z12" s="36"/>
      <c r="AA12" s="36"/>
    </row>
    <row r="13" ht="16.5" customHeight="1">
      <c r="A13" s="31" t="s">
        <v>84</v>
      </c>
      <c r="B13" s="32" t="s">
        <v>286</v>
      </c>
      <c r="C13" s="32" t="s">
        <v>24</v>
      </c>
      <c r="D13" s="32" t="s">
        <v>294</v>
      </c>
      <c r="E13" s="32" t="s">
        <v>288</v>
      </c>
      <c r="F13" s="32" t="s">
        <v>298</v>
      </c>
      <c r="G13" s="32" t="s">
        <v>71</v>
      </c>
      <c r="H13" s="37">
        <v>45946.0</v>
      </c>
      <c r="I13" s="33" t="s">
        <v>299</v>
      </c>
      <c r="J13" s="32" t="s">
        <v>57</v>
      </c>
      <c r="K13" s="32" t="s">
        <v>30</v>
      </c>
      <c r="L13" s="32" t="s">
        <v>31</v>
      </c>
      <c r="M13" s="32" t="s">
        <v>32</v>
      </c>
      <c r="N13" s="32" t="s">
        <v>45</v>
      </c>
      <c r="O13" s="32" t="s">
        <v>300</v>
      </c>
      <c r="P13" s="32" t="s">
        <v>271</v>
      </c>
      <c r="Q13" s="34" t="s">
        <v>301</v>
      </c>
      <c r="R13" s="32"/>
      <c r="S13" s="32" t="s">
        <v>37</v>
      </c>
      <c r="T13" s="35"/>
      <c r="U13" s="36"/>
      <c r="V13" s="30" t="str">
        <f t="array" ref="V13">XLOOKUP($I13,TEST_NYC_Coding!$I$5:$I$44,TEST_NYC_Coding!$A$5:$A$44,"")</f>
        <v/>
      </c>
      <c r="W13" s="36"/>
      <c r="X13" s="36"/>
      <c r="Y13" s="36"/>
      <c r="Z13" s="36"/>
      <c r="AA13" s="36"/>
    </row>
    <row r="14" ht="16.5" customHeight="1">
      <c r="A14" s="31" t="s">
        <v>89</v>
      </c>
      <c r="B14" s="32" t="s">
        <v>286</v>
      </c>
      <c r="C14" s="32" t="s">
        <v>24</v>
      </c>
      <c r="D14" s="32" t="s">
        <v>302</v>
      </c>
      <c r="E14" s="32" t="s">
        <v>303</v>
      </c>
      <c r="F14" s="32" t="s">
        <v>304</v>
      </c>
      <c r="G14" s="32" t="s">
        <v>71</v>
      </c>
      <c r="H14" s="37">
        <v>46082.0</v>
      </c>
      <c r="I14" s="33" t="s">
        <v>305</v>
      </c>
      <c r="J14" s="32" t="s">
        <v>57</v>
      </c>
      <c r="K14" s="32" t="s">
        <v>82</v>
      </c>
      <c r="L14" s="32" t="s">
        <v>306</v>
      </c>
      <c r="M14" s="32" t="s">
        <v>45</v>
      </c>
      <c r="N14" s="32" t="s">
        <v>44</v>
      </c>
      <c r="O14" s="32" t="s">
        <v>97</v>
      </c>
      <c r="P14" s="32" t="s">
        <v>271</v>
      </c>
      <c r="Q14" s="34" t="s">
        <v>307</v>
      </c>
      <c r="R14" s="32"/>
      <c r="S14" s="32" t="s">
        <v>37</v>
      </c>
      <c r="T14" s="35"/>
      <c r="U14" s="36"/>
      <c r="V14" s="30" t="str">
        <f t="array" ref="V14">XLOOKUP($I14,TEST_NYC_Coding!$I$5:$I$44,TEST_NYC_Coding!$A$5:$A$44,"")</f>
        <v/>
      </c>
      <c r="W14" s="36"/>
      <c r="X14" s="36"/>
      <c r="Y14" s="36"/>
      <c r="Z14" s="36"/>
      <c r="AA14" s="36"/>
    </row>
    <row r="15" ht="16.5" customHeight="1">
      <c r="A15" s="38" t="s">
        <v>99</v>
      </c>
      <c r="B15" s="39" t="s">
        <v>90</v>
      </c>
      <c r="C15" s="39" t="s">
        <v>24</v>
      </c>
      <c r="D15" s="39" t="s">
        <v>106</v>
      </c>
      <c r="E15" s="39" t="s">
        <v>107</v>
      </c>
      <c r="F15" s="39" t="s">
        <v>308</v>
      </c>
      <c r="G15" s="39" t="s">
        <v>132</v>
      </c>
      <c r="H15" s="40"/>
      <c r="I15" s="41" t="s">
        <v>309</v>
      </c>
      <c r="J15" s="39" t="s">
        <v>29</v>
      </c>
      <c r="K15" s="39" t="s">
        <v>30</v>
      </c>
      <c r="L15" s="39" t="s">
        <v>30</v>
      </c>
      <c r="M15" s="39" t="s">
        <v>45</v>
      </c>
      <c r="N15" s="39" t="s">
        <v>32</v>
      </c>
      <c r="O15" s="39" t="s">
        <v>34</v>
      </c>
      <c r="P15" s="39" t="s">
        <v>271</v>
      </c>
      <c r="Q15" s="42" t="s">
        <v>310</v>
      </c>
      <c r="R15" s="39"/>
      <c r="S15" s="39" t="s">
        <v>37</v>
      </c>
      <c r="T15" s="43"/>
      <c r="U15" s="44"/>
      <c r="V15" s="30" t="str">
        <f t="array" ref="V15">XLOOKUP($I15,TEST_NYC_Coding!$I$5:$I$44,TEST_NYC_Coding!$A$5:$A$44,"")</f>
        <v/>
      </c>
      <c r="W15" s="44"/>
      <c r="X15" s="44"/>
      <c r="Y15" s="44"/>
      <c r="Z15" s="44"/>
      <c r="AA15" s="44"/>
    </row>
    <row r="16" ht="16.5" customHeight="1">
      <c r="A16" s="38" t="s">
        <v>105</v>
      </c>
      <c r="B16" s="39" t="s">
        <v>90</v>
      </c>
      <c r="C16" s="39" t="s">
        <v>24</v>
      </c>
      <c r="D16" s="39" t="s">
        <v>106</v>
      </c>
      <c r="E16" s="39" t="s">
        <v>107</v>
      </c>
      <c r="F16" s="39" t="s">
        <v>311</v>
      </c>
      <c r="G16" s="39" t="s">
        <v>132</v>
      </c>
      <c r="H16" s="40"/>
      <c r="I16" s="41" t="s">
        <v>312</v>
      </c>
      <c r="J16" s="39" t="s">
        <v>29</v>
      </c>
      <c r="K16" s="39" t="s">
        <v>58</v>
      </c>
      <c r="L16" s="39" t="s">
        <v>313</v>
      </c>
      <c r="M16" s="39" t="s">
        <v>45</v>
      </c>
      <c r="N16" s="39" t="s">
        <v>44</v>
      </c>
      <c r="O16" s="39" t="s">
        <v>34</v>
      </c>
      <c r="P16" s="39" t="s">
        <v>314</v>
      </c>
      <c r="Q16" s="42" t="s">
        <v>315</v>
      </c>
      <c r="R16" s="39"/>
      <c r="S16" s="39" t="s">
        <v>37</v>
      </c>
      <c r="T16" s="43"/>
      <c r="U16" s="44"/>
      <c r="V16" s="30" t="str">
        <f t="array" ref="V16">XLOOKUP($I16,TEST_NYC_Coding!$I$5:$I$44,TEST_NYC_Coding!$A$5:$A$44,"")</f>
        <v/>
      </c>
      <c r="W16" s="44"/>
      <c r="X16" s="44"/>
      <c r="Y16" s="44"/>
      <c r="Z16" s="44"/>
      <c r="AA16" s="44"/>
    </row>
    <row r="17" ht="16.5" customHeight="1">
      <c r="A17" s="45" t="s">
        <v>113</v>
      </c>
      <c r="B17" s="39" t="s">
        <v>90</v>
      </c>
      <c r="C17" s="39" t="s">
        <v>24</v>
      </c>
      <c r="D17" s="39" t="s">
        <v>106</v>
      </c>
      <c r="E17" s="39" t="s">
        <v>107</v>
      </c>
      <c r="F17" s="39" t="s">
        <v>316</v>
      </c>
      <c r="G17" s="39" t="s">
        <v>94</v>
      </c>
      <c r="H17" s="40"/>
      <c r="I17" s="41" t="s">
        <v>317</v>
      </c>
      <c r="J17" s="39" t="s">
        <v>29</v>
      </c>
      <c r="K17" s="39" t="s">
        <v>58</v>
      </c>
      <c r="L17" s="39" t="s">
        <v>103</v>
      </c>
      <c r="M17" s="39" t="s">
        <v>45</v>
      </c>
      <c r="N17" s="39" t="s">
        <v>96</v>
      </c>
      <c r="O17" s="39" t="s">
        <v>97</v>
      </c>
      <c r="P17" s="39" t="s">
        <v>111</v>
      </c>
      <c r="Q17" s="42" t="s">
        <v>134</v>
      </c>
      <c r="R17" s="39"/>
      <c r="S17" s="39" t="s">
        <v>37</v>
      </c>
      <c r="T17" s="43"/>
      <c r="U17" s="44"/>
      <c r="V17" s="30" t="str">
        <f t="array" ref="V17">XLOOKUP($I17,TEST_NYC_Coding!$I$5:$I$44,TEST_NYC_Coding!$A$5:$A$44,"")</f>
        <v/>
      </c>
      <c r="W17" s="44"/>
      <c r="X17" s="44"/>
      <c r="Y17" s="44"/>
      <c r="Z17" s="44"/>
      <c r="AA17" s="44"/>
    </row>
    <row r="18" ht="16.5" customHeight="1">
      <c r="A18" s="38" t="s">
        <v>118</v>
      </c>
      <c r="B18" s="39" t="s">
        <v>90</v>
      </c>
      <c r="C18" s="39" t="s">
        <v>24</v>
      </c>
      <c r="D18" s="39" t="s">
        <v>106</v>
      </c>
      <c r="E18" s="39" t="s">
        <v>107</v>
      </c>
      <c r="F18" s="39" t="s">
        <v>318</v>
      </c>
      <c r="G18" s="39" t="s">
        <v>132</v>
      </c>
      <c r="H18" s="40">
        <v>45708.0</v>
      </c>
      <c r="I18" s="41" t="s">
        <v>109</v>
      </c>
      <c r="J18" s="39" t="s">
        <v>29</v>
      </c>
      <c r="K18" s="39" t="s">
        <v>58</v>
      </c>
      <c r="L18" s="39" t="s">
        <v>103</v>
      </c>
      <c r="M18" s="39" t="s">
        <v>44</v>
      </c>
      <c r="N18" s="39" t="s">
        <v>96</v>
      </c>
      <c r="O18" s="39" t="s">
        <v>34</v>
      </c>
      <c r="P18" s="39" t="s">
        <v>111</v>
      </c>
      <c r="Q18" s="42" t="s">
        <v>112</v>
      </c>
      <c r="R18" s="39"/>
      <c r="S18" s="39" t="s">
        <v>37</v>
      </c>
      <c r="T18" s="43"/>
      <c r="U18" s="44"/>
      <c r="V18" s="30" t="str">
        <f t="array" ref="V18">XLOOKUP($I18,TEST_NYC_Coding!$I$5:$I$44,TEST_NYC_Coding!$A$5:$A$44,"")</f>
        <v>NYC-012</v>
      </c>
      <c r="W18" s="44"/>
      <c r="X18" s="44"/>
      <c r="Y18" s="44"/>
      <c r="Z18" s="44"/>
      <c r="AA18" s="44"/>
    </row>
    <row r="19" ht="16.5" customHeight="1">
      <c r="A19" s="38" t="s">
        <v>124</v>
      </c>
      <c r="B19" s="39" t="s">
        <v>90</v>
      </c>
      <c r="C19" s="39" t="s">
        <v>24</v>
      </c>
      <c r="D19" s="39" t="s">
        <v>106</v>
      </c>
      <c r="E19" s="39" t="s">
        <v>107</v>
      </c>
      <c r="F19" s="39" t="s">
        <v>319</v>
      </c>
      <c r="G19" s="39" t="s">
        <v>132</v>
      </c>
      <c r="H19" s="40"/>
      <c r="I19" s="41" t="s">
        <v>320</v>
      </c>
      <c r="J19" s="39" t="s">
        <v>42</v>
      </c>
      <c r="K19" s="39" t="s">
        <v>30</v>
      </c>
      <c r="L19" s="39" t="s">
        <v>313</v>
      </c>
      <c r="M19" s="39" t="s">
        <v>45</v>
      </c>
      <c r="N19" s="39" t="s">
        <v>44</v>
      </c>
      <c r="O19" s="39" t="s">
        <v>34</v>
      </c>
      <c r="P19" s="39" t="s">
        <v>271</v>
      </c>
      <c r="Q19" s="42" t="s">
        <v>321</v>
      </c>
      <c r="R19" s="39"/>
      <c r="S19" s="39" t="s">
        <v>37</v>
      </c>
      <c r="T19" s="43"/>
      <c r="U19" s="44"/>
      <c r="V19" s="30" t="str">
        <f t="array" ref="V19">XLOOKUP($I19,TEST_NYC_Coding!$I$5:$I$44,TEST_NYC_Coding!$A$5:$A$44,"")</f>
        <v/>
      </c>
      <c r="W19" s="44"/>
      <c r="X19" s="44"/>
      <c r="Y19" s="44"/>
      <c r="Z19" s="44"/>
      <c r="AA19" s="44"/>
    </row>
    <row r="20" ht="16.5" customHeight="1">
      <c r="A20" s="9" t="s">
        <v>129</v>
      </c>
      <c r="B20" s="10" t="s">
        <v>90</v>
      </c>
      <c r="C20" s="10" t="s">
        <v>24</v>
      </c>
      <c r="D20" s="10" t="s">
        <v>322</v>
      </c>
      <c r="E20" s="10" t="s">
        <v>137</v>
      </c>
      <c r="F20" s="10" t="s">
        <v>323</v>
      </c>
      <c r="G20" s="10" t="s">
        <v>94</v>
      </c>
      <c r="H20" s="10">
        <v>2025.0</v>
      </c>
      <c r="I20" s="12" t="s">
        <v>139</v>
      </c>
      <c r="J20" s="10" t="s">
        <v>42</v>
      </c>
      <c r="K20" s="10" t="s">
        <v>30</v>
      </c>
      <c r="L20" s="10" t="s">
        <v>30</v>
      </c>
      <c r="M20" s="10" t="s">
        <v>45</v>
      </c>
      <c r="N20" s="10" t="s">
        <v>33</v>
      </c>
      <c r="O20" s="10" t="s">
        <v>34</v>
      </c>
      <c r="P20" s="10" t="s">
        <v>314</v>
      </c>
      <c r="Q20" s="46" t="s">
        <v>140</v>
      </c>
      <c r="R20" s="10"/>
      <c r="S20" s="10" t="s">
        <v>37</v>
      </c>
      <c r="T20" s="13"/>
      <c r="V20" s="30" t="str">
        <f t="array" ref="V20">XLOOKUP($I20,TEST_NYC_Coding!$I$5:$I$44,TEST_NYC_Coding!$A$5:$A$44,"")</f>
        <v>NYC-017</v>
      </c>
    </row>
    <row r="21" ht="16.5" customHeight="1">
      <c r="A21" s="9" t="s">
        <v>135</v>
      </c>
      <c r="B21" s="10" t="s">
        <v>90</v>
      </c>
      <c r="C21" s="10" t="s">
        <v>24</v>
      </c>
      <c r="D21" s="10" t="s">
        <v>322</v>
      </c>
      <c r="E21" s="10" t="s">
        <v>137</v>
      </c>
      <c r="F21" s="10" t="s">
        <v>324</v>
      </c>
      <c r="G21" s="10" t="s">
        <v>132</v>
      </c>
      <c r="H21" s="47"/>
      <c r="I21" s="12" t="s">
        <v>325</v>
      </c>
      <c r="J21" s="10" t="s">
        <v>57</v>
      </c>
      <c r="K21" s="10" t="s">
        <v>58</v>
      </c>
      <c r="L21" s="10" t="s">
        <v>103</v>
      </c>
      <c r="M21" s="10" t="s">
        <v>45</v>
      </c>
      <c r="N21" s="10" t="s">
        <v>44</v>
      </c>
      <c r="O21" s="10" t="s">
        <v>34</v>
      </c>
      <c r="P21" s="10" t="s">
        <v>314</v>
      </c>
      <c r="Q21" s="46" t="s">
        <v>326</v>
      </c>
      <c r="R21" s="10"/>
      <c r="S21" s="10" t="s">
        <v>37</v>
      </c>
      <c r="T21" s="13"/>
      <c r="V21" s="30" t="str">
        <f t="array" ref="V21">XLOOKUP($I21,TEST_NYC_Coding!$I$5:$I$44,TEST_NYC_Coding!$A$5:$A$44,"")</f>
        <v/>
      </c>
    </row>
    <row r="22" ht="16.5" customHeight="1">
      <c r="A22" s="9" t="s">
        <v>141</v>
      </c>
      <c r="B22" s="10" t="s">
        <v>90</v>
      </c>
      <c r="C22" s="10" t="s">
        <v>24</v>
      </c>
      <c r="D22" s="10" t="s">
        <v>322</v>
      </c>
      <c r="E22" s="10" t="s">
        <v>137</v>
      </c>
      <c r="F22" s="10" t="s">
        <v>327</v>
      </c>
      <c r="G22" s="10" t="s">
        <v>94</v>
      </c>
      <c r="H22" s="10">
        <v>2024.0</v>
      </c>
      <c r="I22" s="12" t="s">
        <v>328</v>
      </c>
      <c r="J22" s="10" t="s">
        <v>57</v>
      </c>
      <c r="K22" s="10" t="s">
        <v>82</v>
      </c>
      <c r="L22" s="10" t="s">
        <v>306</v>
      </c>
      <c r="M22" s="10" t="s">
        <v>96</v>
      </c>
      <c r="N22" s="10" t="s">
        <v>45</v>
      </c>
      <c r="O22" s="10" t="s">
        <v>110</v>
      </c>
      <c r="P22" s="10" t="s">
        <v>314</v>
      </c>
      <c r="Q22" s="46" t="s">
        <v>329</v>
      </c>
      <c r="R22" s="10"/>
      <c r="S22" s="10" t="s">
        <v>37</v>
      </c>
      <c r="T22" s="13"/>
      <c r="V22" s="30" t="str">
        <f t="array" ref="V22">XLOOKUP($I22,TEST_NYC_Coding!$I$5:$I$44,TEST_NYC_Coding!$A$5:$A$44,"")</f>
        <v/>
      </c>
    </row>
    <row r="23" ht="16.5" customHeight="1">
      <c r="A23" s="9" t="s">
        <v>146</v>
      </c>
      <c r="B23" s="10" t="s">
        <v>90</v>
      </c>
      <c r="C23" s="10" t="s">
        <v>24</v>
      </c>
      <c r="D23" s="10" t="s">
        <v>322</v>
      </c>
      <c r="E23" s="10" t="s">
        <v>137</v>
      </c>
      <c r="F23" s="10" t="s">
        <v>155</v>
      </c>
      <c r="G23" s="10" t="s">
        <v>132</v>
      </c>
      <c r="H23" s="47">
        <v>45930.0</v>
      </c>
      <c r="I23" s="12" t="s">
        <v>156</v>
      </c>
      <c r="J23" s="10" t="s">
        <v>42</v>
      </c>
      <c r="K23" s="10" t="s">
        <v>82</v>
      </c>
      <c r="L23" s="10" t="s">
        <v>103</v>
      </c>
      <c r="M23" s="10" t="s">
        <v>45</v>
      </c>
      <c r="N23" s="10" t="s">
        <v>44</v>
      </c>
      <c r="O23" s="10" t="s">
        <v>300</v>
      </c>
      <c r="P23" s="10" t="s">
        <v>314</v>
      </c>
      <c r="Q23" s="46" t="s">
        <v>330</v>
      </c>
      <c r="R23" s="10"/>
      <c r="S23" s="10" t="s">
        <v>37</v>
      </c>
      <c r="T23" s="13"/>
      <c r="V23" s="30" t="str">
        <f t="array" ref="V23">XLOOKUP($I23,TEST_NYC_Coding!$I$5:$I$44,TEST_NYC_Coding!$A$5:$A$44,"")</f>
        <v>NYC-020</v>
      </c>
    </row>
    <row r="24" ht="16.5" customHeight="1">
      <c r="A24" s="9" t="s">
        <v>153</v>
      </c>
      <c r="B24" s="10" t="s">
        <v>90</v>
      </c>
      <c r="C24" s="10" t="s">
        <v>24</v>
      </c>
      <c r="D24" s="10" t="s">
        <v>331</v>
      </c>
      <c r="E24" s="10" t="s">
        <v>137</v>
      </c>
      <c r="F24" s="10" t="s">
        <v>332</v>
      </c>
      <c r="G24" s="10" t="s">
        <v>132</v>
      </c>
      <c r="H24" s="10" t="s">
        <v>333</v>
      </c>
      <c r="I24" s="12" t="s">
        <v>334</v>
      </c>
      <c r="J24" s="10" t="s">
        <v>42</v>
      </c>
      <c r="K24" s="10" t="s">
        <v>30</v>
      </c>
      <c r="L24" s="10" t="s">
        <v>103</v>
      </c>
      <c r="M24" s="10" t="s">
        <v>45</v>
      </c>
      <c r="N24" s="10" t="s">
        <v>33</v>
      </c>
      <c r="O24" s="10" t="s">
        <v>300</v>
      </c>
      <c r="P24" s="10" t="s">
        <v>314</v>
      </c>
      <c r="Q24" s="46" t="s">
        <v>335</v>
      </c>
      <c r="R24" s="10"/>
      <c r="S24" s="10" t="s">
        <v>37</v>
      </c>
      <c r="T24" s="13"/>
      <c r="V24" s="30" t="str">
        <f t="array" ref="V24">XLOOKUP($I24,TEST_NYC_Coding!$I$5:$I$44,TEST_NYC_Coding!$A$5:$A$44,"")</f>
        <v/>
      </c>
    </row>
    <row r="25" ht="16.5" customHeight="1">
      <c r="A25" s="48" t="s">
        <v>158</v>
      </c>
      <c r="B25" s="49" t="s">
        <v>90</v>
      </c>
      <c r="C25" s="49" t="s">
        <v>24</v>
      </c>
      <c r="D25" s="49" t="s">
        <v>336</v>
      </c>
      <c r="E25" s="49" t="s">
        <v>92</v>
      </c>
      <c r="F25" s="49" t="s">
        <v>337</v>
      </c>
      <c r="G25" s="49" t="s">
        <v>94</v>
      </c>
      <c r="H25" s="50"/>
      <c r="I25" s="51" t="s">
        <v>338</v>
      </c>
      <c r="J25" s="49" t="s">
        <v>57</v>
      </c>
      <c r="K25" s="49" t="s">
        <v>82</v>
      </c>
      <c r="L25" s="49" t="s">
        <v>306</v>
      </c>
      <c r="M25" s="49" t="s">
        <v>32</v>
      </c>
      <c r="N25" s="49" t="s">
        <v>96</v>
      </c>
      <c r="O25" s="49" t="s">
        <v>97</v>
      </c>
      <c r="P25" s="49" t="s">
        <v>271</v>
      </c>
      <c r="Q25" s="52" t="s">
        <v>339</v>
      </c>
      <c r="R25" s="49"/>
      <c r="S25" s="49" t="s">
        <v>37</v>
      </c>
      <c r="T25" s="53"/>
      <c r="U25" s="54"/>
      <c r="V25" s="30" t="str">
        <f t="array" ref="V25">XLOOKUP($I25,TEST_NYC_Coding!$I$5:$I$44,TEST_NYC_Coding!$A$5:$A$44,"")</f>
        <v/>
      </c>
      <c r="W25" s="54"/>
      <c r="X25" s="54"/>
      <c r="Y25" s="54"/>
      <c r="Z25" s="54"/>
      <c r="AA25" s="54"/>
    </row>
    <row r="26" ht="16.5" customHeight="1">
      <c r="A26" s="48" t="s">
        <v>163</v>
      </c>
      <c r="B26" s="49" t="s">
        <v>90</v>
      </c>
      <c r="C26" s="49" t="s">
        <v>24</v>
      </c>
      <c r="D26" s="49" t="s">
        <v>340</v>
      </c>
      <c r="E26" s="49" t="s">
        <v>92</v>
      </c>
      <c r="F26" s="49" t="s">
        <v>341</v>
      </c>
      <c r="G26" s="49" t="s">
        <v>94</v>
      </c>
      <c r="H26" s="50">
        <v>46031.0</v>
      </c>
      <c r="I26" s="51" t="s">
        <v>101</v>
      </c>
      <c r="J26" s="49" t="s">
        <v>57</v>
      </c>
      <c r="K26" s="49" t="s">
        <v>82</v>
      </c>
      <c r="L26" s="49" t="s">
        <v>306</v>
      </c>
      <c r="M26" s="49" t="s">
        <v>32</v>
      </c>
      <c r="N26" s="49" t="s">
        <v>45</v>
      </c>
      <c r="O26" s="49" t="s">
        <v>97</v>
      </c>
      <c r="P26" s="49" t="s">
        <v>271</v>
      </c>
      <c r="Q26" s="52" t="s">
        <v>342</v>
      </c>
      <c r="R26" s="49"/>
      <c r="S26" s="49" t="s">
        <v>37</v>
      </c>
      <c r="T26" s="53"/>
      <c r="U26" s="54"/>
      <c r="V26" s="30" t="str">
        <f t="array" ref="V26">XLOOKUP($I26,TEST_NYC_Coding!$I$5:$I$44,TEST_NYC_Coding!$A$5:$A$44,"")</f>
        <v>NYC-011</v>
      </c>
      <c r="W26" s="54"/>
      <c r="X26" s="54"/>
      <c r="Y26" s="54"/>
      <c r="Z26" s="54"/>
      <c r="AA26" s="54"/>
    </row>
    <row r="27" ht="16.5" customHeight="1">
      <c r="A27" s="48" t="s">
        <v>168</v>
      </c>
      <c r="B27" s="49" t="s">
        <v>90</v>
      </c>
      <c r="C27" s="49" t="s">
        <v>24</v>
      </c>
      <c r="D27" s="49" t="s">
        <v>91</v>
      </c>
      <c r="E27" s="49" t="s">
        <v>92</v>
      </c>
      <c r="F27" s="49" t="s">
        <v>343</v>
      </c>
      <c r="G27" s="49" t="s">
        <v>94</v>
      </c>
      <c r="H27" s="50"/>
      <c r="I27" s="51" t="s">
        <v>344</v>
      </c>
      <c r="J27" s="49" t="s">
        <v>57</v>
      </c>
      <c r="K27" s="49" t="s">
        <v>82</v>
      </c>
      <c r="L27" s="49" t="s">
        <v>103</v>
      </c>
      <c r="M27" s="49" t="s">
        <v>96</v>
      </c>
      <c r="N27" s="49" t="s">
        <v>45</v>
      </c>
      <c r="O27" s="49" t="s">
        <v>97</v>
      </c>
      <c r="P27" s="49" t="s">
        <v>314</v>
      </c>
      <c r="Q27" s="52" t="s">
        <v>345</v>
      </c>
      <c r="R27" s="49"/>
      <c r="S27" s="49" t="s">
        <v>37</v>
      </c>
      <c r="T27" s="53"/>
      <c r="U27" s="54"/>
      <c r="V27" s="30" t="str">
        <f t="array" ref="V27">XLOOKUP($I27,TEST_NYC_Coding!$I$5:$I$44,TEST_NYC_Coding!$A$5:$A$44,"")</f>
        <v/>
      </c>
      <c r="W27" s="54"/>
      <c r="X27" s="54"/>
      <c r="Y27" s="54"/>
      <c r="Z27" s="54"/>
      <c r="AA27" s="54"/>
    </row>
    <row r="28" ht="16.5" customHeight="1">
      <c r="A28" s="48" t="s">
        <v>173</v>
      </c>
      <c r="B28" s="49" t="s">
        <v>90</v>
      </c>
      <c r="C28" s="49" t="s">
        <v>24</v>
      </c>
      <c r="D28" s="49" t="s">
        <v>91</v>
      </c>
      <c r="E28" s="49" t="s">
        <v>92</v>
      </c>
      <c r="F28" s="49" t="s">
        <v>346</v>
      </c>
      <c r="G28" s="49" t="s">
        <v>132</v>
      </c>
      <c r="H28" s="50">
        <v>45818.0</v>
      </c>
      <c r="I28" s="51" t="s">
        <v>347</v>
      </c>
      <c r="J28" s="49" t="s">
        <v>42</v>
      </c>
      <c r="K28" s="49" t="s">
        <v>58</v>
      </c>
      <c r="L28" s="49" t="s">
        <v>313</v>
      </c>
      <c r="M28" s="49" t="s">
        <v>32</v>
      </c>
      <c r="N28" s="49"/>
      <c r="O28" s="49" t="s">
        <v>34</v>
      </c>
      <c r="P28" s="49" t="s">
        <v>271</v>
      </c>
      <c r="Q28" s="52" t="s">
        <v>348</v>
      </c>
      <c r="R28" s="49"/>
      <c r="S28" s="49" t="s">
        <v>37</v>
      </c>
      <c r="T28" s="53"/>
      <c r="U28" s="54"/>
      <c r="V28" s="30" t="str">
        <f t="array" ref="V28">XLOOKUP($I28,TEST_NYC_Coding!$I$5:$I$44,TEST_NYC_Coding!$A$5:$A$44,"")</f>
        <v/>
      </c>
      <c r="W28" s="54"/>
      <c r="X28" s="54"/>
      <c r="Y28" s="54"/>
      <c r="Z28" s="54"/>
      <c r="AA28" s="54"/>
    </row>
    <row r="29" ht="16.5" customHeight="1">
      <c r="A29" s="48" t="s">
        <v>183</v>
      </c>
      <c r="B29" s="49" t="s">
        <v>90</v>
      </c>
      <c r="C29" s="49" t="s">
        <v>24</v>
      </c>
      <c r="D29" s="49" t="s">
        <v>91</v>
      </c>
      <c r="E29" s="49" t="s">
        <v>92</v>
      </c>
      <c r="F29" s="49" t="s">
        <v>349</v>
      </c>
      <c r="G29" s="49" t="s">
        <v>94</v>
      </c>
      <c r="H29" s="50"/>
      <c r="I29" s="51" t="s">
        <v>350</v>
      </c>
      <c r="J29" s="49" t="s">
        <v>42</v>
      </c>
      <c r="K29" s="49" t="s">
        <v>30</v>
      </c>
      <c r="L29" s="49" t="s">
        <v>313</v>
      </c>
      <c r="M29" s="49" t="s">
        <v>45</v>
      </c>
      <c r="N29" s="49"/>
      <c r="O29" s="49" t="s">
        <v>34</v>
      </c>
      <c r="P29" s="49" t="s">
        <v>271</v>
      </c>
      <c r="Q29" s="52" t="s">
        <v>351</v>
      </c>
      <c r="R29" s="49"/>
      <c r="S29" s="49" t="s">
        <v>37</v>
      </c>
      <c r="T29" s="53"/>
      <c r="U29" s="54"/>
      <c r="V29" s="30" t="str">
        <f t="array" ref="V29">XLOOKUP($I29,TEST_NYC_Coding!$I$5:$I$44,TEST_NYC_Coding!$A$5:$A$44,"")</f>
        <v/>
      </c>
      <c r="W29" s="54"/>
      <c r="X29" s="54"/>
      <c r="Y29" s="54"/>
      <c r="Z29" s="54"/>
      <c r="AA29" s="54"/>
    </row>
    <row r="30" ht="16.5" customHeight="1">
      <c r="A30" s="38" t="s">
        <v>188</v>
      </c>
      <c r="B30" s="39" t="s">
        <v>352</v>
      </c>
      <c r="C30" s="39" t="s">
        <v>24</v>
      </c>
      <c r="D30" s="39" t="s">
        <v>353</v>
      </c>
      <c r="E30" s="55" t="s">
        <v>107</v>
      </c>
      <c r="F30" s="39" t="s">
        <v>354</v>
      </c>
      <c r="G30" s="39" t="s">
        <v>132</v>
      </c>
      <c r="H30" s="40"/>
      <c r="I30" s="41" t="s">
        <v>116</v>
      </c>
      <c r="J30" s="39" t="s">
        <v>57</v>
      </c>
      <c r="K30" s="39" t="s">
        <v>82</v>
      </c>
      <c r="L30" s="39" t="s">
        <v>355</v>
      </c>
      <c r="M30" s="39" t="s">
        <v>45</v>
      </c>
      <c r="N30" s="39" t="s">
        <v>44</v>
      </c>
      <c r="O30" s="39" t="s">
        <v>97</v>
      </c>
      <c r="P30" s="39" t="s">
        <v>111</v>
      </c>
      <c r="Q30" s="42" t="s">
        <v>356</v>
      </c>
      <c r="R30" s="39"/>
      <c r="S30" s="39" t="s">
        <v>37</v>
      </c>
      <c r="T30" s="43">
        <v>46157.0</v>
      </c>
      <c r="U30" s="44"/>
      <c r="V30" s="30" t="str">
        <f t="array" ref="V30">XLOOKUP($I30,TEST_NYC_Coding!$I$5:$I$44,TEST_NYC_Coding!$A$5:$A$44,"")</f>
        <v>NYC-013</v>
      </c>
      <c r="W30" s="44"/>
      <c r="X30" s="44"/>
      <c r="Y30" s="44"/>
      <c r="Z30" s="44"/>
      <c r="AA30" s="44"/>
    </row>
    <row r="31" ht="16.5" customHeight="1">
      <c r="A31" s="38" t="s">
        <v>193</v>
      </c>
      <c r="B31" s="39" t="s">
        <v>352</v>
      </c>
      <c r="C31" s="39" t="s">
        <v>24</v>
      </c>
      <c r="D31" s="39" t="s">
        <v>357</v>
      </c>
      <c r="E31" s="55" t="s">
        <v>107</v>
      </c>
      <c r="F31" s="39" t="s">
        <v>358</v>
      </c>
      <c r="G31" s="39" t="s">
        <v>94</v>
      </c>
      <c r="H31" s="40">
        <v>45962.0</v>
      </c>
      <c r="I31" s="41" t="s">
        <v>359</v>
      </c>
      <c r="J31" s="39" t="s">
        <v>180</v>
      </c>
      <c r="K31" s="39" t="s">
        <v>102</v>
      </c>
      <c r="L31" s="39" t="s">
        <v>306</v>
      </c>
      <c r="M31" s="39" t="s">
        <v>44</v>
      </c>
      <c r="N31" s="39" t="s">
        <v>96</v>
      </c>
      <c r="O31" s="39" t="s">
        <v>34</v>
      </c>
      <c r="P31" s="39" t="s">
        <v>314</v>
      </c>
      <c r="Q31" s="42" t="s">
        <v>360</v>
      </c>
      <c r="R31" s="39"/>
      <c r="S31" s="39" t="s">
        <v>37</v>
      </c>
      <c r="T31" s="43">
        <v>46157.0</v>
      </c>
      <c r="U31" s="44"/>
      <c r="V31" s="30" t="str">
        <f t="array" ref="V31">XLOOKUP($I31,TEST_NYC_Coding!$I$5:$I$44,TEST_NYC_Coding!$A$5:$A$44,"")</f>
        <v/>
      </c>
      <c r="W31" s="44"/>
      <c r="X31" s="44"/>
      <c r="Y31" s="44"/>
      <c r="Z31" s="44"/>
      <c r="AA31" s="44"/>
    </row>
    <row r="32" ht="16.5" customHeight="1">
      <c r="A32" s="38" t="s">
        <v>199</v>
      </c>
      <c r="B32" s="39" t="s">
        <v>352</v>
      </c>
      <c r="C32" s="39" t="s">
        <v>24</v>
      </c>
      <c r="D32" s="39" t="s">
        <v>106</v>
      </c>
      <c r="E32" s="55" t="s">
        <v>107</v>
      </c>
      <c r="F32" s="39" t="s">
        <v>361</v>
      </c>
      <c r="G32" s="39" t="s">
        <v>94</v>
      </c>
      <c r="H32" s="40"/>
      <c r="I32" s="56" t="s">
        <v>127</v>
      </c>
      <c r="J32" s="39" t="s">
        <v>57</v>
      </c>
      <c r="K32" s="39" t="s">
        <v>30</v>
      </c>
      <c r="L32" s="39" t="s">
        <v>103</v>
      </c>
      <c r="M32" s="39" t="s">
        <v>96</v>
      </c>
      <c r="N32" s="39" t="s">
        <v>44</v>
      </c>
      <c r="O32" s="39" t="s">
        <v>110</v>
      </c>
      <c r="P32" s="39" t="s">
        <v>314</v>
      </c>
      <c r="Q32" s="42" t="s">
        <v>128</v>
      </c>
      <c r="R32" s="39"/>
      <c r="S32" s="39" t="s">
        <v>37</v>
      </c>
      <c r="T32" s="43">
        <v>46157.0</v>
      </c>
      <c r="U32" s="44"/>
      <c r="V32" s="30" t="str">
        <f t="array" ref="V32">XLOOKUP($I32,TEST_NYC_Coding!$I$5:$I$44,TEST_NYC_Coding!$A$5:$A$44,"")</f>
        <v>NYC-015</v>
      </c>
      <c r="W32" s="44"/>
      <c r="X32" s="44"/>
      <c r="Y32" s="44"/>
      <c r="Z32" s="44"/>
      <c r="AA32" s="44"/>
    </row>
    <row r="33" ht="16.5" customHeight="1">
      <c r="A33" s="38" t="s">
        <v>204</v>
      </c>
      <c r="B33" s="39" t="s">
        <v>352</v>
      </c>
      <c r="C33" s="39" t="s">
        <v>24</v>
      </c>
      <c r="D33" s="39" t="s">
        <v>106</v>
      </c>
      <c r="E33" s="55" t="s">
        <v>107</v>
      </c>
      <c r="F33" s="39" t="s">
        <v>362</v>
      </c>
      <c r="G33" s="39" t="s">
        <v>132</v>
      </c>
      <c r="H33" s="40">
        <v>45314.0</v>
      </c>
      <c r="I33" s="56" t="s">
        <v>363</v>
      </c>
      <c r="J33" s="39" t="s">
        <v>57</v>
      </c>
      <c r="K33" s="39" t="s">
        <v>58</v>
      </c>
      <c r="L33" s="39" t="s">
        <v>103</v>
      </c>
      <c r="M33" s="39" t="s">
        <v>44</v>
      </c>
      <c r="N33" s="39" t="s">
        <v>96</v>
      </c>
      <c r="O33" s="39" t="s">
        <v>34</v>
      </c>
      <c r="P33" s="39" t="s">
        <v>111</v>
      </c>
      <c r="Q33" s="42" t="s">
        <v>364</v>
      </c>
      <c r="R33" s="39"/>
      <c r="S33" s="39" t="s">
        <v>37</v>
      </c>
      <c r="T33" s="43">
        <v>46157.0</v>
      </c>
      <c r="U33" s="44"/>
      <c r="V33" s="30" t="str">
        <f t="array" ref="V33">XLOOKUP($I33,TEST_NYC_Coding!$I$5:$I$44,TEST_NYC_Coding!$A$5:$A$44,"")</f>
        <v/>
      </c>
      <c r="W33" s="44"/>
      <c r="X33" s="44"/>
      <c r="Y33" s="44"/>
      <c r="Z33" s="44"/>
      <c r="AA33" s="44"/>
    </row>
    <row r="34" ht="16.5" customHeight="1">
      <c r="A34" s="38" t="s">
        <v>209</v>
      </c>
      <c r="B34" s="39" t="s">
        <v>352</v>
      </c>
      <c r="C34" s="39" t="s">
        <v>24</v>
      </c>
      <c r="D34" s="39" t="s">
        <v>106</v>
      </c>
      <c r="E34" s="55" t="s">
        <v>107</v>
      </c>
      <c r="F34" s="39" t="s">
        <v>365</v>
      </c>
      <c r="G34" s="39" t="s">
        <v>132</v>
      </c>
      <c r="H34" s="40"/>
      <c r="I34" s="57" t="s">
        <v>366</v>
      </c>
      <c r="J34" s="39" t="s">
        <v>57</v>
      </c>
      <c r="K34" s="39" t="s">
        <v>30</v>
      </c>
      <c r="L34" s="39" t="s">
        <v>103</v>
      </c>
      <c r="M34" s="39" t="s">
        <v>45</v>
      </c>
      <c r="N34" s="39" t="s">
        <v>96</v>
      </c>
      <c r="O34" s="39" t="s">
        <v>34</v>
      </c>
      <c r="P34" s="39" t="s">
        <v>111</v>
      </c>
      <c r="Q34" s="42" t="s">
        <v>367</v>
      </c>
      <c r="R34" s="39"/>
      <c r="S34" s="39" t="s">
        <v>37</v>
      </c>
      <c r="T34" s="43">
        <v>46157.0</v>
      </c>
      <c r="U34" s="44"/>
      <c r="V34" s="30" t="str">
        <f t="array" ref="V34">XLOOKUP($I34,TEST_NYC_Coding!$I$5:$I$44,TEST_NYC_Coding!$A$5:$A$44,"")</f>
        <v/>
      </c>
      <c r="W34" s="44"/>
      <c r="X34" s="44"/>
      <c r="Y34" s="44"/>
      <c r="Z34" s="44"/>
      <c r="AA34" s="44"/>
    </row>
    <row r="35" ht="16.5" customHeight="1">
      <c r="A35" s="9" t="s">
        <v>214</v>
      </c>
      <c r="B35" s="10" t="s">
        <v>352</v>
      </c>
      <c r="C35" s="10" t="s">
        <v>24</v>
      </c>
      <c r="D35" s="10" t="s">
        <v>368</v>
      </c>
      <c r="E35" s="10" t="s">
        <v>137</v>
      </c>
      <c r="F35" s="10" t="s">
        <v>143</v>
      </c>
      <c r="G35" s="10" t="s">
        <v>27</v>
      </c>
      <c r="H35" s="11">
        <v>45888.0</v>
      </c>
      <c r="I35" s="12" t="s">
        <v>144</v>
      </c>
      <c r="J35" s="10" t="s">
        <v>42</v>
      </c>
      <c r="K35" s="10" t="s">
        <v>82</v>
      </c>
      <c r="L35" s="10" t="s">
        <v>103</v>
      </c>
      <c r="M35" s="10" t="s">
        <v>44</v>
      </c>
      <c r="N35" s="10" t="s">
        <v>32</v>
      </c>
      <c r="O35" s="10" t="s">
        <v>97</v>
      </c>
      <c r="P35" s="10" t="s">
        <v>314</v>
      </c>
      <c r="Q35" s="46" t="s">
        <v>145</v>
      </c>
      <c r="R35" s="10"/>
      <c r="S35" s="10" t="s">
        <v>37</v>
      </c>
      <c r="T35" s="13">
        <v>46157.0</v>
      </c>
      <c r="V35" s="30" t="str">
        <f t="array" ref="V35">XLOOKUP($I35,TEST_NYC_Coding!$I$5:$I$44,TEST_NYC_Coding!$A$5:$A$44,"")</f>
        <v>NYC-018</v>
      </c>
    </row>
    <row r="36" ht="16.5" customHeight="1">
      <c r="A36" s="9" t="s">
        <v>220</v>
      </c>
      <c r="B36" s="10" t="s">
        <v>352</v>
      </c>
      <c r="C36" s="10" t="s">
        <v>24</v>
      </c>
      <c r="D36" s="10" t="s">
        <v>369</v>
      </c>
      <c r="E36" s="10" t="s">
        <v>137</v>
      </c>
      <c r="F36" s="10" t="s">
        <v>370</v>
      </c>
      <c r="G36" s="10" t="s">
        <v>27</v>
      </c>
      <c r="H36" s="47"/>
      <c r="I36" s="12" t="s">
        <v>371</v>
      </c>
      <c r="J36" s="10" t="s">
        <v>29</v>
      </c>
      <c r="K36" s="10" t="s">
        <v>82</v>
      </c>
      <c r="L36" s="10" t="s">
        <v>313</v>
      </c>
      <c r="M36" s="10" t="s">
        <v>96</v>
      </c>
      <c r="N36" s="10" t="s">
        <v>45</v>
      </c>
      <c r="O36" s="10" t="s">
        <v>97</v>
      </c>
      <c r="P36" s="10" t="s">
        <v>271</v>
      </c>
      <c r="Q36" s="46" t="s">
        <v>372</v>
      </c>
      <c r="R36" s="10" t="s">
        <v>373</v>
      </c>
      <c r="S36" s="10" t="s">
        <v>37</v>
      </c>
      <c r="T36" s="13">
        <v>46157.0</v>
      </c>
      <c r="V36" s="30" t="str">
        <f t="array" ref="V36">XLOOKUP($I36,TEST_NYC_Coding!$I$5:$I$44,TEST_NYC_Coding!$A$5:$A$44,"")</f>
        <v/>
      </c>
    </row>
    <row r="37" ht="16.5" customHeight="1">
      <c r="A37" s="9" t="s">
        <v>226</v>
      </c>
      <c r="B37" s="10" t="s">
        <v>352</v>
      </c>
      <c r="C37" s="10" t="s">
        <v>24</v>
      </c>
      <c r="D37" s="10" t="s">
        <v>374</v>
      </c>
      <c r="E37" s="10" t="s">
        <v>137</v>
      </c>
      <c r="F37" s="10" t="s">
        <v>375</v>
      </c>
      <c r="G37" s="10" t="s">
        <v>27</v>
      </c>
      <c r="H37" s="47"/>
      <c r="I37" s="12" t="s">
        <v>376</v>
      </c>
      <c r="J37" s="10" t="s">
        <v>29</v>
      </c>
      <c r="K37" s="10" t="s">
        <v>58</v>
      </c>
      <c r="L37" s="10" t="s">
        <v>103</v>
      </c>
      <c r="M37" s="10" t="s">
        <v>44</v>
      </c>
      <c r="N37" s="10" t="s">
        <v>96</v>
      </c>
      <c r="O37" s="10" t="s">
        <v>97</v>
      </c>
      <c r="P37" s="10" t="s">
        <v>314</v>
      </c>
      <c r="Q37" s="46" t="s">
        <v>377</v>
      </c>
      <c r="R37" s="10"/>
      <c r="S37" s="10" t="s">
        <v>37</v>
      </c>
      <c r="T37" s="13">
        <v>46157.0</v>
      </c>
      <c r="V37" s="30" t="str">
        <f t="array" ref="V37">XLOOKUP($I37,TEST_NYC_Coding!$I$5:$I$44,TEST_NYC_Coding!$A$5:$A$44,"")</f>
        <v/>
      </c>
    </row>
    <row r="38" ht="16.5" customHeight="1">
      <c r="A38" s="14" t="s">
        <v>231</v>
      </c>
      <c r="B38" s="10" t="s">
        <v>352</v>
      </c>
      <c r="C38" s="10" t="s">
        <v>24</v>
      </c>
      <c r="D38" s="10" t="s">
        <v>378</v>
      </c>
      <c r="E38" s="10" t="s">
        <v>137</v>
      </c>
      <c r="F38" s="10" t="s">
        <v>379</v>
      </c>
      <c r="G38" s="10" t="s">
        <v>27</v>
      </c>
      <c r="H38" s="47"/>
      <c r="I38" s="12" t="s">
        <v>380</v>
      </c>
      <c r="J38" s="10" t="s">
        <v>57</v>
      </c>
      <c r="K38" s="10" t="s">
        <v>82</v>
      </c>
      <c r="L38" s="10" t="s">
        <v>306</v>
      </c>
      <c r="M38" s="10" t="s">
        <v>32</v>
      </c>
      <c r="N38" s="10" t="s">
        <v>96</v>
      </c>
      <c r="O38" s="10" t="s">
        <v>97</v>
      </c>
      <c r="P38" s="10" t="s">
        <v>271</v>
      </c>
      <c r="Q38" s="46" t="s">
        <v>381</v>
      </c>
      <c r="R38" s="10" t="s">
        <v>373</v>
      </c>
      <c r="S38" s="10" t="s">
        <v>37</v>
      </c>
      <c r="T38" s="13">
        <v>46157.0</v>
      </c>
      <c r="V38" s="30" t="str">
        <f t="array" ref="V38">XLOOKUP($I38,TEST_NYC_Coding!$I$5:$I$44,TEST_NYC_Coding!$A$5:$A$44,"")</f>
        <v/>
      </c>
    </row>
    <row r="39" ht="16.5" customHeight="1">
      <c r="A39" s="14" t="s">
        <v>236</v>
      </c>
      <c r="B39" s="10" t="s">
        <v>352</v>
      </c>
      <c r="C39" s="10" t="s">
        <v>24</v>
      </c>
      <c r="D39" s="10" t="s">
        <v>382</v>
      </c>
      <c r="E39" s="10" t="s">
        <v>137</v>
      </c>
      <c r="F39" s="10" t="s">
        <v>165</v>
      </c>
      <c r="G39" s="10" t="s">
        <v>132</v>
      </c>
      <c r="H39" s="15">
        <v>45717.0</v>
      </c>
      <c r="I39" s="12" t="s">
        <v>166</v>
      </c>
      <c r="J39" s="10" t="s">
        <v>29</v>
      </c>
      <c r="K39" s="10" t="s">
        <v>58</v>
      </c>
      <c r="L39" s="10" t="s">
        <v>103</v>
      </c>
      <c r="M39" s="10" t="s">
        <v>44</v>
      </c>
      <c r="N39" s="10" t="s">
        <v>45</v>
      </c>
      <c r="O39" s="10" t="s">
        <v>34</v>
      </c>
      <c r="P39" s="10" t="s">
        <v>111</v>
      </c>
      <c r="Q39" s="46" t="s">
        <v>383</v>
      </c>
      <c r="R39" s="10"/>
      <c r="S39" s="10" t="s">
        <v>37</v>
      </c>
      <c r="T39" s="13">
        <v>46157.0</v>
      </c>
      <c r="V39" s="30" t="str">
        <f t="array" ref="V39">XLOOKUP($I39,TEST_NYC_Coding!$I$5:$I$44,TEST_NYC_Coding!$A$5:$A$44,"")</f>
        <v>NYC-022</v>
      </c>
    </row>
    <row r="40" ht="16.5" customHeight="1">
      <c r="A40" s="58" t="s">
        <v>242</v>
      </c>
      <c r="B40" s="49" t="s">
        <v>352</v>
      </c>
      <c r="C40" s="49" t="s">
        <v>24</v>
      </c>
      <c r="D40" s="49" t="s">
        <v>169</v>
      </c>
      <c r="E40" s="49" t="s">
        <v>92</v>
      </c>
      <c r="F40" s="49" t="s">
        <v>384</v>
      </c>
      <c r="G40" s="49" t="s">
        <v>132</v>
      </c>
      <c r="H40" s="49">
        <v>2025.0</v>
      </c>
      <c r="I40" s="51" t="s">
        <v>171</v>
      </c>
      <c r="J40" s="49" t="s">
        <v>29</v>
      </c>
      <c r="K40" s="49" t="s">
        <v>102</v>
      </c>
      <c r="L40" s="49" t="s">
        <v>103</v>
      </c>
      <c r="M40" s="49" t="s">
        <v>44</v>
      </c>
      <c r="N40" s="49" t="s">
        <v>96</v>
      </c>
      <c r="O40" s="49" t="s">
        <v>97</v>
      </c>
      <c r="P40" s="49" t="s">
        <v>314</v>
      </c>
      <c r="Q40" s="52" t="s">
        <v>172</v>
      </c>
      <c r="R40" s="49"/>
      <c r="S40" s="49" t="s">
        <v>37</v>
      </c>
      <c r="T40" s="53">
        <v>46156.0</v>
      </c>
      <c r="U40" s="54"/>
      <c r="V40" s="30" t="str">
        <f t="array" ref="V40">XLOOKUP($I40,TEST_NYC_Coding!$I$5:$I$44,TEST_NYC_Coding!$A$5:$A$44,"")</f>
        <v>NYC-023</v>
      </c>
      <c r="W40" s="54"/>
      <c r="X40" s="54"/>
      <c r="Y40" s="54"/>
      <c r="Z40" s="54"/>
      <c r="AA40" s="54"/>
    </row>
    <row r="41" ht="16.5" customHeight="1">
      <c r="A41" s="58" t="s">
        <v>247</v>
      </c>
      <c r="B41" s="49" t="s">
        <v>352</v>
      </c>
      <c r="C41" s="49" t="s">
        <v>24</v>
      </c>
      <c r="D41" s="49" t="s">
        <v>385</v>
      </c>
      <c r="E41" s="49" t="s">
        <v>92</v>
      </c>
      <c r="F41" s="49" t="s">
        <v>386</v>
      </c>
      <c r="G41" s="49" t="s">
        <v>94</v>
      </c>
      <c r="H41" s="50"/>
      <c r="I41" s="51" t="s">
        <v>387</v>
      </c>
      <c r="J41" s="49" t="s">
        <v>57</v>
      </c>
      <c r="K41" s="49" t="s">
        <v>30</v>
      </c>
      <c r="L41" s="49" t="s">
        <v>306</v>
      </c>
      <c r="M41" s="49" t="s">
        <v>96</v>
      </c>
      <c r="N41" s="49" t="s">
        <v>45</v>
      </c>
      <c r="O41" s="49" t="s">
        <v>97</v>
      </c>
      <c r="P41" s="49" t="s">
        <v>314</v>
      </c>
      <c r="Q41" s="52" t="s">
        <v>388</v>
      </c>
      <c r="R41" s="49"/>
      <c r="S41" s="49" t="s">
        <v>37</v>
      </c>
      <c r="T41" s="53">
        <v>46156.0</v>
      </c>
      <c r="U41" s="54"/>
      <c r="V41" s="30" t="str">
        <f t="array" ref="V41">XLOOKUP($I41,TEST_NYC_Coding!$I$5:$I$44,TEST_NYC_Coding!$A$5:$A$44,"")</f>
        <v/>
      </c>
      <c r="W41" s="54"/>
      <c r="X41" s="54"/>
      <c r="Y41" s="54"/>
      <c r="Z41" s="54"/>
      <c r="AA41" s="54"/>
    </row>
    <row r="42" ht="16.5" customHeight="1">
      <c r="A42" s="58" t="s">
        <v>252</v>
      </c>
      <c r="B42" s="49" t="s">
        <v>352</v>
      </c>
      <c r="C42" s="49" t="s">
        <v>24</v>
      </c>
      <c r="D42" s="49" t="s">
        <v>389</v>
      </c>
      <c r="E42" s="49" t="s">
        <v>92</v>
      </c>
      <c r="F42" s="49" t="s">
        <v>390</v>
      </c>
      <c r="G42" s="49" t="s">
        <v>94</v>
      </c>
      <c r="H42" s="50"/>
      <c r="I42" s="51" t="s">
        <v>391</v>
      </c>
      <c r="J42" s="49" t="s">
        <v>42</v>
      </c>
      <c r="K42" s="49" t="s">
        <v>82</v>
      </c>
      <c r="L42" s="49" t="s">
        <v>313</v>
      </c>
      <c r="M42" s="49" t="s">
        <v>45</v>
      </c>
      <c r="N42" s="49" t="s">
        <v>32</v>
      </c>
      <c r="O42" s="49" t="s">
        <v>300</v>
      </c>
      <c r="P42" s="49" t="s">
        <v>271</v>
      </c>
      <c r="Q42" s="52" t="s">
        <v>392</v>
      </c>
      <c r="R42" s="49"/>
      <c r="S42" s="49" t="s">
        <v>37</v>
      </c>
      <c r="T42" s="53">
        <v>46156.0</v>
      </c>
      <c r="U42" s="54"/>
      <c r="V42" s="30" t="str">
        <f t="array" ref="V42">XLOOKUP($I42,TEST_NYC_Coding!$I$5:$I$44,TEST_NYC_Coding!$A$5:$A$44,"")</f>
        <v/>
      </c>
      <c r="W42" s="54"/>
      <c r="X42" s="54"/>
      <c r="Y42" s="54"/>
      <c r="Z42" s="54"/>
      <c r="AA42" s="54"/>
    </row>
    <row r="43" ht="16.5" customHeight="1">
      <c r="A43" s="58" t="s">
        <v>257</v>
      </c>
      <c r="B43" s="49" t="s">
        <v>352</v>
      </c>
      <c r="C43" s="49" t="s">
        <v>24</v>
      </c>
      <c r="D43" s="49" t="s">
        <v>393</v>
      </c>
      <c r="E43" s="49" t="s">
        <v>92</v>
      </c>
      <c r="F43" s="49" t="s">
        <v>394</v>
      </c>
      <c r="G43" s="49" t="s">
        <v>94</v>
      </c>
      <c r="H43" s="50"/>
      <c r="I43" s="51" t="s">
        <v>395</v>
      </c>
      <c r="J43" s="49" t="s">
        <v>29</v>
      </c>
      <c r="K43" s="49" t="s">
        <v>82</v>
      </c>
      <c r="L43" s="49" t="s">
        <v>306</v>
      </c>
      <c r="M43" s="49" t="s">
        <v>44</v>
      </c>
      <c r="N43" s="49" t="s">
        <v>96</v>
      </c>
      <c r="O43" s="49" t="s">
        <v>97</v>
      </c>
      <c r="P43" s="49" t="s">
        <v>314</v>
      </c>
      <c r="Q43" s="52" t="s">
        <v>396</v>
      </c>
      <c r="R43" s="49"/>
      <c r="S43" s="49" t="s">
        <v>37</v>
      </c>
      <c r="T43" s="53">
        <v>46156.0</v>
      </c>
      <c r="U43" s="54"/>
      <c r="V43" s="30" t="str">
        <f t="array" ref="V43">XLOOKUP($I43,TEST_NYC_Coding!$I$5:$I$44,TEST_NYC_Coding!$A$5:$A$44,"")</f>
        <v/>
      </c>
      <c r="W43" s="54"/>
      <c r="X43" s="54"/>
      <c r="Y43" s="54"/>
      <c r="Z43" s="54"/>
      <c r="AA43" s="54"/>
    </row>
    <row r="44" ht="16.5" customHeight="1">
      <c r="A44" s="58" t="s">
        <v>262</v>
      </c>
      <c r="B44" s="49" t="s">
        <v>352</v>
      </c>
      <c r="C44" s="49" t="s">
        <v>24</v>
      </c>
      <c r="D44" s="49" t="s">
        <v>397</v>
      </c>
      <c r="E44" s="49" t="s">
        <v>92</v>
      </c>
      <c r="F44" s="49" t="s">
        <v>398</v>
      </c>
      <c r="G44" s="49" t="s">
        <v>94</v>
      </c>
      <c r="H44" s="50"/>
      <c r="I44" s="51" t="s">
        <v>399</v>
      </c>
      <c r="J44" s="49" t="s">
        <v>57</v>
      </c>
      <c r="K44" s="49" t="s">
        <v>82</v>
      </c>
      <c r="L44" s="49" t="s">
        <v>313</v>
      </c>
      <c r="M44" s="49" t="s">
        <v>32</v>
      </c>
      <c r="N44" s="49" t="s">
        <v>45</v>
      </c>
      <c r="O44" s="49" t="s">
        <v>34</v>
      </c>
      <c r="P44" s="49" t="s">
        <v>271</v>
      </c>
      <c r="Q44" s="52" t="s">
        <v>400</v>
      </c>
      <c r="R44" s="49"/>
      <c r="S44" s="49" t="s">
        <v>37</v>
      </c>
      <c r="T44" s="53">
        <v>46156.0</v>
      </c>
      <c r="U44" s="54"/>
      <c r="V44" s="30" t="str">
        <f t="array" ref="V44">XLOOKUP($I44,TEST_NYC_Coding!$I$5:$I$44,TEST_NYC_Coding!$A$5:$A$44,"")</f>
        <v/>
      </c>
      <c r="W44" s="54"/>
      <c r="X44" s="54"/>
      <c r="Y44" s="54"/>
      <c r="Z44" s="54"/>
      <c r="AA44" s="54"/>
    </row>
    <row r="45" ht="16.5" customHeight="1">
      <c r="A45" s="45" t="s">
        <v>401</v>
      </c>
      <c r="B45" s="39" t="s">
        <v>174</v>
      </c>
      <c r="C45" s="39" t="s">
        <v>24</v>
      </c>
      <c r="D45" s="39" t="s">
        <v>402</v>
      </c>
      <c r="E45" s="39" t="s">
        <v>107</v>
      </c>
      <c r="F45" s="39" t="s">
        <v>403</v>
      </c>
      <c r="G45" s="39" t="s">
        <v>177</v>
      </c>
      <c r="H45" s="39" t="s">
        <v>178</v>
      </c>
      <c r="I45" s="41" t="s">
        <v>404</v>
      </c>
      <c r="J45" s="39" t="s">
        <v>180</v>
      </c>
      <c r="K45" s="39" t="s">
        <v>82</v>
      </c>
      <c r="L45" s="39" t="s">
        <v>103</v>
      </c>
      <c r="M45" s="39" t="s">
        <v>96</v>
      </c>
      <c r="N45" s="39" t="s">
        <v>44</v>
      </c>
      <c r="O45" s="39" t="s">
        <v>110</v>
      </c>
      <c r="P45" s="39" t="s">
        <v>151</v>
      </c>
      <c r="Q45" s="42" t="s">
        <v>405</v>
      </c>
      <c r="R45" s="39"/>
      <c r="S45" s="39" t="s">
        <v>37</v>
      </c>
      <c r="T45" s="43">
        <v>46156.0</v>
      </c>
      <c r="U45" s="44"/>
      <c r="V45" s="30" t="str">
        <f t="array" ref="V45">XLOOKUP($I45,TEST_NYC_Coding!$I$5:$I$44,TEST_NYC_Coding!$A$5:$A$44,"")</f>
        <v/>
      </c>
      <c r="W45" s="44"/>
      <c r="X45" s="44"/>
      <c r="Y45" s="44"/>
      <c r="Z45" s="44"/>
      <c r="AA45" s="44"/>
    </row>
    <row r="46" ht="16.5" customHeight="1">
      <c r="A46" s="45" t="s">
        <v>406</v>
      </c>
      <c r="B46" s="39" t="s">
        <v>174</v>
      </c>
      <c r="C46" s="39" t="s">
        <v>24</v>
      </c>
      <c r="D46" s="39" t="s">
        <v>402</v>
      </c>
      <c r="E46" s="39" t="s">
        <v>107</v>
      </c>
      <c r="F46" s="39" t="s">
        <v>407</v>
      </c>
      <c r="G46" s="39" t="s">
        <v>177</v>
      </c>
      <c r="H46" s="39" t="s">
        <v>178</v>
      </c>
      <c r="I46" s="41" t="s">
        <v>408</v>
      </c>
      <c r="J46" s="39" t="s">
        <v>180</v>
      </c>
      <c r="K46" s="39" t="s">
        <v>30</v>
      </c>
      <c r="L46" s="39" t="s">
        <v>103</v>
      </c>
      <c r="M46" s="39" t="s">
        <v>96</v>
      </c>
      <c r="N46" s="39" t="s">
        <v>44</v>
      </c>
      <c r="O46" s="39" t="s">
        <v>97</v>
      </c>
      <c r="P46" s="39" t="s">
        <v>151</v>
      </c>
      <c r="Q46" s="42" t="s">
        <v>409</v>
      </c>
      <c r="R46" s="39"/>
      <c r="S46" s="39" t="s">
        <v>37</v>
      </c>
      <c r="T46" s="43">
        <v>46156.0</v>
      </c>
      <c r="U46" s="44"/>
      <c r="V46" s="30" t="str">
        <f t="array" ref="V46">XLOOKUP($I46,TEST_NYC_Coding!$I$5:$I$44,TEST_NYC_Coding!$A$5:$A$44,"")</f>
        <v/>
      </c>
      <c r="W46" s="44"/>
      <c r="X46" s="44"/>
      <c r="Y46" s="44"/>
      <c r="Z46" s="44"/>
      <c r="AA46" s="44"/>
    </row>
    <row r="47" ht="16.5" customHeight="1">
      <c r="A47" s="44" t="s">
        <v>410</v>
      </c>
      <c r="B47" s="39" t="s">
        <v>174</v>
      </c>
      <c r="C47" s="39" t="s">
        <v>24</v>
      </c>
      <c r="D47" s="39" t="s">
        <v>411</v>
      </c>
      <c r="E47" s="39" t="s">
        <v>107</v>
      </c>
      <c r="F47" s="39" t="s">
        <v>412</v>
      </c>
      <c r="G47" s="39" t="s">
        <v>177</v>
      </c>
      <c r="H47" s="39">
        <v>2025.0</v>
      </c>
      <c r="I47" s="41" t="s">
        <v>413</v>
      </c>
      <c r="J47" s="39" t="s">
        <v>180</v>
      </c>
      <c r="K47" s="39" t="s">
        <v>30</v>
      </c>
      <c r="L47" s="39" t="s">
        <v>103</v>
      </c>
      <c r="M47" s="39" t="s">
        <v>44</v>
      </c>
      <c r="N47" s="39" t="s">
        <v>96</v>
      </c>
      <c r="O47" s="39" t="s">
        <v>97</v>
      </c>
      <c r="P47" s="39" t="s">
        <v>151</v>
      </c>
      <c r="Q47" s="42" t="s">
        <v>414</v>
      </c>
      <c r="R47" s="39"/>
      <c r="S47" s="39" t="s">
        <v>37</v>
      </c>
      <c r="T47" s="43">
        <v>46156.0</v>
      </c>
      <c r="U47" s="44"/>
      <c r="V47" s="30" t="str">
        <f t="array" ref="V47">XLOOKUP($I47,TEST_NYC_Coding!$I$5:$I$44,TEST_NYC_Coding!$A$5:$A$44,"")</f>
        <v/>
      </c>
      <c r="W47" s="44"/>
      <c r="X47" s="44"/>
      <c r="Y47" s="44"/>
      <c r="Z47" s="44"/>
      <c r="AA47" s="44"/>
    </row>
    <row r="48" ht="16.5" customHeight="1">
      <c r="A48" s="44" t="s">
        <v>415</v>
      </c>
      <c r="B48" s="39" t="s">
        <v>174</v>
      </c>
      <c r="C48" s="39" t="s">
        <v>24</v>
      </c>
      <c r="D48" s="39" t="s">
        <v>411</v>
      </c>
      <c r="E48" s="39" t="s">
        <v>107</v>
      </c>
      <c r="F48" s="39" t="s">
        <v>416</v>
      </c>
      <c r="G48" s="39" t="s">
        <v>177</v>
      </c>
      <c r="H48" s="39" t="s">
        <v>417</v>
      </c>
      <c r="I48" s="41" t="s">
        <v>418</v>
      </c>
      <c r="J48" s="39" t="s">
        <v>180</v>
      </c>
      <c r="K48" s="39" t="s">
        <v>82</v>
      </c>
      <c r="L48" s="39" t="s">
        <v>313</v>
      </c>
      <c r="M48" s="39" t="s">
        <v>96</v>
      </c>
      <c r="N48" s="39" t="s">
        <v>44</v>
      </c>
      <c r="O48" s="39" t="s">
        <v>110</v>
      </c>
      <c r="P48" s="39" t="s">
        <v>151</v>
      </c>
      <c r="Q48" s="42" t="s">
        <v>419</v>
      </c>
      <c r="R48" s="39"/>
      <c r="S48" s="39" t="s">
        <v>37</v>
      </c>
      <c r="T48" s="43">
        <v>46156.0</v>
      </c>
      <c r="U48" s="44"/>
      <c r="V48" s="30" t="str">
        <f t="array" ref="V48">XLOOKUP($I48,TEST_NYC_Coding!$I$5:$I$44,TEST_NYC_Coding!$A$5:$A$44,"")</f>
        <v/>
      </c>
      <c r="W48" s="44"/>
      <c r="X48" s="44"/>
      <c r="Y48" s="44"/>
      <c r="Z48" s="44"/>
      <c r="AA48" s="44"/>
    </row>
    <row r="49" ht="16.5" customHeight="1">
      <c r="A49" s="44" t="s">
        <v>420</v>
      </c>
      <c r="B49" s="39" t="s">
        <v>174</v>
      </c>
      <c r="C49" s="39" t="s">
        <v>24</v>
      </c>
      <c r="D49" s="39" t="s">
        <v>411</v>
      </c>
      <c r="E49" s="39" t="s">
        <v>107</v>
      </c>
      <c r="F49" s="39" t="s">
        <v>421</v>
      </c>
      <c r="G49" s="39" t="s">
        <v>177</v>
      </c>
      <c r="H49" s="39" t="s">
        <v>178</v>
      </c>
      <c r="I49" s="41" t="s">
        <v>422</v>
      </c>
      <c r="J49" s="39" t="s">
        <v>180</v>
      </c>
      <c r="K49" s="39" t="s">
        <v>30</v>
      </c>
      <c r="L49" s="39" t="s">
        <v>103</v>
      </c>
      <c r="M49" s="39" t="s">
        <v>96</v>
      </c>
      <c r="N49" s="39" t="s">
        <v>44</v>
      </c>
      <c r="O49" s="39" t="s">
        <v>110</v>
      </c>
      <c r="P49" s="39" t="s">
        <v>151</v>
      </c>
      <c r="Q49" s="42" t="s">
        <v>423</v>
      </c>
      <c r="R49" s="39"/>
      <c r="S49" s="39" t="s">
        <v>37</v>
      </c>
      <c r="T49" s="43">
        <v>46156.0</v>
      </c>
      <c r="U49" s="44"/>
      <c r="V49" s="30" t="str">
        <f t="array" ref="V49">XLOOKUP($I49,TEST_NYC_Coding!$I$5:$I$44,TEST_NYC_Coding!$A$5:$A$44,"")</f>
        <v/>
      </c>
      <c r="W49" s="44"/>
      <c r="X49" s="44"/>
      <c r="Y49" s="44"/>
      <c r="Z49" s="44"/>
      <c r="AA49" s="44"/>
    </row>
    <row r="50" ht="16.5" customHeight="1">
      <c r="A50" s="18" t="s">
        <v>424</v>
      </c>
      <c r="B50" s="10" t="s">
        <v>174</v>
      </c>
      <c r="C50" s="10" t="s">
        <v>24</v>
      </c>
      <c r="D50" s="10" t="s">
        <v>425</v>
      </c>
      <c r="E50" s="10" t="s">
        <v>137</v>
      </c>
      <c r="F50" s="10" t="s">
        <v>426</v>
      </c>
      <c r="G50" s="10" t="s">
        <v>177</v>
      </c>
      <c r="H50" s="10">
        <v>2025.0</v>
      </c>
      <c r="I50" s="12" t="s">
        <v>427</v>
      </c>
      <c r="J50" s="10" t="s">
        <v>180</v>
      </c>
      <c r="K50" s="10" t="s">
        <v>30</v>
      </c>
      <c r="L50" s="10" t="s">
        <v>103</v>
      </c>
      <c r="M50" s="10" t="s">
        <v>96</v>
      </c>
      <c r="N50" s="10" t="s">
        <v>44</v>
      </c>
      <c r="O50" s="10" t="s">
        <v>97</v>
      </c>
      <c r="P50" s="10" t="s">
        <v>151</v>
      </c>
      <c r="Q50" s="46" t="s">
        <v>428</v>
      </c>
      <c r="R50" s="10"/>
      <c r="S50" s="10" t="s">
        <v>37</v>
      </c>
      <c r="T50" s="13">
        <v>46156.0</v>
      </c>
      <c r="V50" s="30" t="str">
        <f t="array" ref="V50">XLOOKUP($I50,TEST_NYC_Coding!$I$5:$I$44,TEST_NYC_Coding!$A$5:$A$44,"")</f>
        <v/>
      </c>
    </row>
    <row r="51" ht="16.5" customHeight="1">
      <c r="A51" s="18" t="s">
        <v>429</v>
      </c>
      <c r="B51" s="10" t="s">
        <v>174</v>
      </c>
      <c r="C51" s="10" t="s">
        <v>24</v>
      </c>
      <c r="D51" s="10" t="s">
        <v>430</v>
      </c>
      <c r="E51" s="10" t="s">
        <v>137</v>
      </c>
      <c r="F51" s="10" t="s">
        <v>431</v>
      </c>
      <c r="G51" s="10" t="s">
        <v>177</v>
      </c>
      <c r="H51" s="10">
        <v>2025.0</v>
      </c>
      <c r="I51" s="12" t="s">
        <v>432</v>
      </c>
      <c r="J51" s="10" t="s">
        <v>29</v>
      </c>
      <c r="K51" s="10" t="s">
        <v>30</v>
      </c>
      <c r="L51" s="10" t="s">
        <v>103</v>
      </c>
      <c r="M51" s="10" t="s">
        <v>96</v>
      </c>
      <c r="N51" s="10" t="s">
        <v>44</v>
      </c>
      <c r="O51" s="10" t="s">
        <v>97</v>
      </c>
      <c r="P51" s="10" t="s">
        <v>151</v>
      </c>
      <c r="Q51" s="46" t="s">
        <v>433</v>
      </c>
      <c r="R51" s="10"/>
      <c r="S51" s="10" t="s">
        <v>37</v>
      </c>
      <c r="T51" s="13">
        <v>46156.0</v>
      </c>
      <c r="V51" s="30" t="str">
        <f t="array" ref="V51">XLOOKUP($I51,TEST_NYC_Coding!$I$5:$I$44,TEST_NYC_Coding!$A$5:$A$44,"")</f>
        <v/>
      </c>
    </row>
    <row r="52" ht="16.5" customHeight="1">
      <c r="A52" s="18" t="s">
        <v>434</v>
      </c>
      <c r="B52" s="10" t="s">
        <v>174</v>
      </c>
      <c r="C52" s="10" t="s">
        <v>24</v>
      </c>
      <c r="D52" s="10" t="s">
        <v>435</v>
      </c>
      <c r="E52" s="10" t="s">
        <v>137</v>
      </c>
      <c r="F52" s="10" t="s">
        <v>436</v>
      </c>
      <c r="G52" s="10" t="s">
        <v>177</v>
      </c>
      <c r="H52" s="10">
        <v>2026.0</v>
      </c>
      <c r="I52" s="12" t="s">
        <v>437</v>
      </c>
      <c r="J52" s="10" t="s">
        <v>29</v>
      </c>
      <c r="K52" s="10" t="s">
        <v>82</v>
      </c>
      <c r="L52" s="10" t="s">
        <v>103</v>
      </c>
      <c r="M52" s="10" t="s">
        <v>45</v>
      </c>
      <c r="N52" s="10" t="s">
        <v>96</v>
      </c>
      <c r="O52" s="10" t="s">
        <v>34</v>
      </c>
      <c r="P52" s="10" t="s">
        <v>151</v>
      </c>
      <c r="Q52" s="46" t="s">
        <v>438</v>
      </c>
      <c r="R52" s="10"/>
      <c r="S52" s="10" t="s">
        <v>37</v>
      </c>
      <c r="T52" s="13">
        <v>46156.0</v>
      </c>
      <c r="V52" s="30" t="str">
        <f t="array" ref="V52">XLOOKUP($I52,TEST_NYC_Coding!$I$5:$I$44,TEST_NYC_Coding!$A$5:$A$44,"")</f>
        <v/>
      </c>
    </row>
    <row r="53" ht="16.5" customHeight="1">
      <c r="A53" s="18" t="s">
        <v>439</v>
      </c>
      <c r="B53" s="10" t="s">
        <v>174</v>
      </c>
      <c r="C53" s="10" t="s">
        <v>24</v>
      </c>
      <c r="D53" s="10" t="s">
        <v>382</v>
      </c>
      <c r="E53" s="10" t="s">
        <v>137</v>
      </c>
      <c r="F53" s="10" t="s">
        <v>440</v>
      </c>
      <c r="G53" s="10" t="s">
        <v>177</v>
      </c>
      <c r="H53" s="10">
        <v>2025.0</v>
      </c>
      <c r="I53" s="12" t="s">
        <v>441</v>
      </c>
      <c r="J53" s="10" t="s">
        <v>57</v>
      </c>
      <c r="K53" s="10" t="s">
        <v>82</v>
      </c>
      <c r="L53" s="10" t="s">
        <v>103</v>
      </c>
      <c r="M53" s="10" t="s">
        <v>96</v>
      </c>
      <c r="N53" s="10" t="s">
        <v>45</v>
      </c>
      <c r="O53" s="10" t="s">
        <v>110</v>
      </c>
      <c r="P53" s="10" t="s">
        <v>151</v>
      </c>
      <c r="Q53" s="46" t="s">
        <v>442</v>
      </c>
      <c r="R53" s="10"/>
      <c r="S53" s="10" t="s">
        <v>37</v>
      </c>
      <c r="T53" s="13">
        <v>46156.0</v>
      </c>
      <c r="V53" s="30" t="str">
        <f t="array" ref="V53">XLOOKUP($I53,TEST_NYC_Coding!$I$5:$I$44,TEST_NYC_Coding!$A$5:$A$44,"")</f>
        <v/>
      </c>
    </row>
    <row r="54" ht="16.5" customHeight="1">
      <c r="A54" s="18" t="s">
        <v>443</v>
      </c>
      <c r="B54" s="10" t="s">
        <v>174</v>
      </c>
      <c r="C54" s="10" t="s">
        <v>24</v>
      </c>
      <c r="D54" s="10" t="s">
        <v>368</v>
      </c>
      <c r="E54" s="10" t="s">
        <v>137</v>
      </c>
      <c r="F54" s="10" t="s">
        <v>444</v>
      </c>
      <c r="G54" s="10" t="s">
        <v>177</v>
      </c>
      <c r="H54" s="10">
        <v>2025.0</v>
      </c>
      <c r="I54" s="12" t="s">
        <v>445</v>
      </c>
      <c r="J54" s="10" t="s">
        <v>42</v>
      </c>
      <c r="K54" s="10" t="s">
        <v>82</v>
      </c>
      <c r="L54" s="10" t="s">
        <v>103</v>
      </c>
      <c r="M54" s="10" t="s">
        <v>96</v>
      </c>
      <c r="N54" s="10"/>
      <c r="O54" s="10" t="s">
        <v>97</v>
      </c>
      <c r="P54" s="10" t="s">
        <v>151</v>
      </c>
      <c r="Q54" s="46" t="s">
        <v>446</v>
      </c>
      <c r="R54" s="10"/>
      <c r="S54" s="10" t="s">
        <v>37</v>
      </c>
      <c r="T54" s="13">
        <v>46156.0</v>
      </c>
      <c r="V54" s="30" t="str">
        <f t="array" ref="V54">XLOOKUP($I54,TEST_NYC_Coding!$I$5:$I$44,TEST_NYC_Coding!$A$5:$A$44,"")</f>
        <v/>
      </c>
    </row>
    <row r="55" ht="16.5" customHeight="1">
      <c r="A55" s="54" t="s">
        <v>447</v>
      </c>
      <c r="B55" s="49" t="s">
        <v>174</v>
      </c>
      <c r="C55" s="49" t="s">
        <v>24</v>
      </c>
      <c r="D55" s="49" t="s">
        <v>91</v>
      </c>
      <c r="E55" s="49" t="s">
        <v>92</v>
      </c>
      <c r="F55" s="49" t="s">
        <v>448</v>
      </c>
      <c r="G55" s="49" t="s">
        <v>177</v>
      </c>
      <c r="H55" s="49" t="s">
        <v>239</v>
      </c>
      <c r="I55" s="51" t="s">
        <v>449</v>
      </c>
      <c r="J55" s="49" t="s">
        <v>29</v>
      </c>
      <c r="K55" s="49" t="s">
        <v>82</v>
      </c>
      <c r="L55" s="49" t="s">
        <v>103</v>
      </c>
      <c r="M55" s="49" t="s">
        <v>96</v>
      </c>
      <c r="N55" s="49" t="s">
        <v>44</v>
      </c>
      <c r="O55" s="49" t="s">
        <v>97</v>
      </c>
      <c r="P55" s="49" t="s">
        <v>151</v>
      </c>
      <c r="Q55" s="52" t="s">
        <v>450</v>
      </c>
      <c r="R55" s="49"/>
      <c r="S55" s="49" t="s">
        <v>37</v>
      </c>
      <c r="T55" s="53">
        <v>46156.0</v>
      </c>
      <c r="U55" s="54"/>
      <c r="V55" s="30" t="str">
        <f t="array" ref="V55">XLOOKUP($I55,TEST_NYC_Coding!$I$5:$I$44,TEST_NYC_Coding!$A$5:$A$44,"")</f>
        <v/>
      </c>
      <c r="W55" s="54"/>
      <c r="X55" s="54"/>
      <c r="Y55" s="54"/>
      <c r="Z55" s="54"/>
      <c r="AA55" s="54"/>
    </row>
    <row r="56" ht="16.5" customHeight="1">
      <c r="A56" s="54" t="s">
        <v>451</v>
      </c>
      <c r="B56" s="49" t="s">
        <v>174</v>
      </c>
      <c r="C56" s="49" t="s">
        <v>24</v>
      </c>
      <c r="D56" s="49" t="s">
        <v>91</v>
      </c>
      <c r="E56" s="49" t="s">
        <v>92</v>
      </c>
      <c r="F56" s="49" t="s">
        <v>452</v>
      </c>
      <c r="G56" s="49" t="s">
        <v>177</v>
      </c>
      <c r="H56" s="49" t="s">
        <v>417</v>
      </c>
      <c r="I56" s="51" t="s">
        <v>453</v>
      </c>
      <c r="J56" s="49" t="s">
        <v>180</v>
      </c>
      <c r="K56" s="49" t="s">
        <v>30</v>
      </c>
      <c r="L56" s="49" t="s">
        <v>103</v>
      </c>
      <c r="M56" s="49" t="s">
        <v>44</v>
      </c>
      <c r="N56" s="49"/>
      <c r="O56" s="49" t="s">
        <v>300</v>
      </c>
      <c r="P56" s="49" t="s">
        <v>151</v>
      </c>
      <c r="Q56" s="52" t="s">
        <v>454</v>
      </c>
      <c r="R56" s="49"/>
      <c r="S56" s="49" t="s">
        <v>37</v>
      </c>
      <c r="T56" s="53">
        <v>46156.0</v>
      </c>
      <c r="U56" s="54"/>
      <c r="V56" s="30" t="str">
        <f t="array" ref="V56">XLOOKUP($I56,TEST_NYC_Coding!$I$5:$I$44,TEST_NYC_Coding!$A$5:$A$44,"")</f>
        <v/>
      </c>
      <c r="W56" s="54"/>
      <c r="X56" s="54"/>
      <c r="Y56" s="54"/>
      <c r="Z56" s="54"/>
      <c r="AA56" s="54"/>
    </row>
    <row r="57" ht="16.5" customHeight="1">
      <c r="A57" s="54" t="s">
        <v>455</v>
      </c>
      <c r="B57" s="49" t="s">
        <v>174</v>
      </c>
      <c r="C57" s="49" t="s">
        <v>24</v>
      </c>
      <c r="D57" s="49" t="s">
        <v>91</v>
      </c>
      <c r="E57" s="49" t="s">
        <v>92</v>
      </c>
      <c r="F57" s="49" t="s">
        <v>456</v>
      </c>
      <c r="G57" s="49" t="s">
        <v>177</v>
      </c>
      <c r="H57" s="49" t="s">
        <v>457</v>
      </c>
      <c r="I57" s="51" t="s">
        <v>458</v>
      </c>
      <c r="J57" s="49" t="s">
        <v>180</v>
      </c>
      <c r="K57" s="49" t="s">
        <v>30</v>
      </c>
      <c r="L57" s="49" t="s">
        <v>103</v>
      </c>
      <c r="M57" s="49" t="s">
        <v>44</v>
      </c>
      <c r="N57" s="49" t="s">
        <v>96</v>
      </c>
      <c r="O57" s="49" t="s">
        <v>300</v>
      </c>
      <c r="P57" s="49" t="s">
        <v>151</v>
      </c>
      <c r="Q57" s="52" t="s">
        <v>459</v>
      </c>
      <c r="R57" s="49"/>
      <c r="S57" s="49" t="s">
        <v>37</v>
      </c>
      <c r="T57" s="53">
        <v>46156.0</v>
      </c>
      <c r="U57" s="54"/>
      <c r="V57" s="30" t="str">
        <f t="array" ref="V57">XLOOKUP($I57,TEST_NYC_Coding!$I$5:$I$44,TEST_NYC_Coding!$A$5:$A$44,"")</f>
        <v/>
      </c>
      <c r="W57" s="54"/>
      <c r="X57" s="54"/>
      <c r="Y57" s="54"/>
      <c r="Z57" s="54"/>
      <c r="AA57" s="54"/>
    </row>
    <row r="58" ht="16.5" customHeight="1">
      <c r="A58" s="54" t="s">
        <v>460</v>
      </c>
      <c r="B58" s="49" t="s">
        <v>174</v>
      </c>
      <c r="C58" s="49" t="s">
        <v>24</v>
      </c>
      <c r="D58" s="49" t="s">
        <v>91</v>
      </c>
      <c r="E58" s="49" t="s">
        <v>92</v>
      </c>
      <c r="F58" s="49" t="s">
        <v>461</v>
      </c>
      <c r="G58" s="49" t="s">
        <v>177</v>
      </c>
      <c r="H58" s="49" t="s">
        <v>462</v>
      </c>
      <c r="I58" s="51" t="s">
        <v>463</v>
      </c>
      <c r="J58" s="49" t="s">
        <v>29</v>
      </c>
      <c r="K58" s="49" t="s">
        <v>30</v>
      </c>
      <c r="L58" s="49" t="s">
        <v>103</v>
      </c>
      <c r="M58" s="49" t="s">
        <v>44</v>
      </c>
      <c r="N58" s="49" t="s">
        <v>96</v>
      </c>
      <c r="O58" s="49" t="s">
        <v>97</v>
      </c>
      <c r="P58" s="49" t="s">
        <v>151</v>
      </c>
      <c r="Q58" s="52" t="s">
        <v>464</v>
      </c>
      <c r="R58" s="49"/>
      <c r="S58" s="49" t="s">
        <v>37</v>
      </c>
      <c r="T58" s="53">
        <v>46156.0</v>
      </c>
      <c r="U58" s="54"/>
      <c r="V58" s="30" t="str">
        <f t="array" ref="V58">XLOOKUP($I58,TEST_NYC_Coding!$I$5:$I$44,TEST_NYC_Coding!$A$5:$A$44,"")</f>
        <v/>
      </c>
      <c r="W58" s="54"/>
      <c r="X58" s="54"/>
      <c r="Y58" s="54"/>
      <c r="Z58" s="54"/>
      <c r="AA58" s="54"/>
    </row>
    <row r="59" ht="16.5" customHeight="1">
      <c r="A59" s="54" t="s">
        <v>465</v>
      </c>
      <c r="B59" s="49" t="s">
        <v>174</v>
      </c>
      <c r="C59" s="49" t="s">
        <v>24</v>
      </c>
      <c r="D59" s="49" t="s">
        <v>91</v>
      </c>
      <c r="E59" s="49" t="s">
        <v>92</v>
      </c>
      <c r="F59" s="49" t="s">
        <v>190</v>
      </c>
      <c r="G59" s="49" t="s">
        <v>177</v>
      </c>
      <c r="H59" s="49" t="s">
        <v>462</v>
      </c>
      <c r="I59" s="51" t="s">
        <v>466</v>
      </c>
      <c r="J59" s="49" t="s">
        <v>29</v>
      </c>
      <c r="K59" s="49" t="s">
        <v>30</v>
      </c>
      <c r="L59" s="49" t="s">
        <v>103</v>
      </c>
      <c r="M59" s="49" t="s">
        <v>44</v>
      </c>
      <c r="N59" s="49" t="s">
        <v>96</v>
      </c>
      <c r="O59" s="49" t="s">
        <v>300</v>
      </c>
      <c r="P59" s="49" t="s">
        <v>151</v>
      </c>
      <c r="Q59" s="52" t="s">
        <v>467</v>
      </c>
      <c r="R59" s="49"/>
      <c r="S59" s="49" t="s">
        <v>37</v>
      </c>
      <c r="T59" s="53">
        <v>46156.0</v>
      </c>
      <c r="U59" s="54"/>
      <c r="V59" s="30" t="str">
        <f t="array" ref="V59">XLOOKUP($I59,TEST_NYC_Coding!$I$5:$I$44,TEST_NYC_Coding!$A$5:$A$44,"")</f>
        <v/>
      </c>
      <c r="W59" s="54"/>
      <c r="X59" s="54"/>
      <c r="Y59" s="54"/>
      <c r="Z59" s="54"/>
      <c r="AA59" s="54"/>
    </row>
    <row r="60" ht="16.5" customHeight="1">
      <c r="B60" s="10"/>
      <c r="C60" s="10"/>
      <c r="D60" s="10"/>
      <c r="E60" s="10"/>
      <c r="F60" s="10"/>
      <c r="G60" s="10"/>
      <c r="H60" s="47"/>
      <c r="I60" s="10"/>
      <c r="J60" s="10"/>
      <c r="K60" s="10"/>
      <c r="L60" s="10"/>
      <c r="M60" s="10"/>
      <c r="N60" s="10"/>
      <c r="O60" s="10"/>
      <c r="P60" s="10"/>
      <c r="Q60" s="10"/>
      <c r="R60" s="10"/>
      <c r="S60" s="10"/>
      <c r="T60" s="10"/>
    </row>
    <row r="61" ht="16.5" customHeight="1">
      <c r="B61" s="10"/>
      <c r="C61" s="10"/>
      <c r="D61" s="10"/>
      <c r="E61" s="10"/>
      <c r="F61" s="10"/>
      <c r="G61" s="10"/>
      <c r="H61" s="47"/>
      <c r="I61" s="10"/>
      <c r="J61" s="10"/>
      <c r="K61" s="10"/>
      <c r="L61" s="10"/>
      <c r="M61" s="10"/>
      <c r="N61" s="10"/>
      <c r="O61" s="10"/>
      <c r="P61" s="10"/>
      <c r="Q61" s="10"/>
      <c r="R61" s="10"/>
      <c r="S61" s="10"/>
      <c r="T61" s="10"/>
    </row>
    <row r="62" ht="16.5" customHeight="1">
      <c r="B62" s="10"/>
      <c r="C62" s="10"/>
      <c r="D62" s="10"/>
      <c r="E62" s="10"/>
      <c r="F62" s="10"/>
      <c r="G62" s="10"/>
      <c r="H62" s="47"/>
      <c r="I62" s="10"/>
      <c r="J62" s="10"/>
      <c r="K62" s="10"/>
      <c r="L62" s="10"/>
      <c r="M62" s="10"/>
      <c r="N62" s="10"/>
      <c r="O62" s="10"/>
      <c r="P62" s="10"/>
      <c r="Q62" s="10"/>
      <c r="R62" s="10"/>
      <c r="S62" s="10"/>
      <c r="T62" s="10"/>
    </row>
    <row r="63" ht="16.5" customHeight="1">
      <c r="B63" s="10"/>
      <c r="C63" s="10"/>
      <c r="D63" s="10"/>
      <c r="E63" s="10"/>
      <c r="F63" s="10"/>
      <c r="G63" s="10"/>
      <c r="H63" s="47"/>
      <c r="I63" s="10"/>
      <c r="J63" s="10"/>
      <c r="K63" s="10"/>
      <c r="L63" s="10"/>
      <c r="M63" s="10"/>
      <c r="N63" s="10"/>
      <c r="O63" s="10"/>
      <c r="P63" s="10"/>
      <c r="Q63" s="10"/>
      <c r="R63" s="10"/>
      <c r="S63" s="10"/>
      <c r="T63" s="10"/>
    </row>
    <row r="64" ht="16.5" customHeight="1">
      <c r="A64" s="10"/>
      <c r="B64" s="10"/>
      <c r="C64" s="10"/>
      <c r="D64" s="10"/>
      <c r="E64" s="10"/>
      <c r="F64" s="10"/>
      <c r="G64" s="10"/>
      <c r="H64" s="47"/>
      <c r="I64" s="10"/>
      <c r="J64" s="10"/>
      <c r="K64" s="10"/>
      <c r="L64" s="10"/>
      <c r="M64" s="10"/>
      <c r="N64" s="10"/>
      <c r="O64" s="10"/>
      <c r="P64" s="10"/>
      <c r="Q64" s="10"/>
      <c r="R64" s="10"/>
      <c r="S64" s="10"/>
      <c r="T64" s="10"/>
    </row>
    <row r="65" ht="16.5" customHeight="1">
      <c r="A65" s="10"/>
      <c r="B65" s="10"/>
      <c r="C65" s="10"/>
      <c r="D65" s="10"/>
      <c r="E65" s="10"/>
      <c r="F65" s="10"/>
      <c r="G65" s="10"/>
      <c r="H65" s="47"/>
      <c r="I65" s="10"/>
      <c r="J65" s="10"/>
      <c r="K65" s="10"/>
      <c r="L65" s="10"/>
      <c r="M65" s="10"/>
      <c r="N65" s="10"/>
      <c r="O65" s="10"/>
      <c r="P65" s="10"/>
      <c r="Q65" s="10"/>
      <c r="R65" s="10"/>
      <c r="S65" s="10"/>
      <c r="T65" s="10"/>
    </row>
    <row r="66" ht="16.5" customHeight="1">
      <c r="A66" s="10"/>
      <c r="B66" s="10"/>
      <c r="C66" s="10"/>
      <c r="D66" s="10"/>
      <c r="E66" s="10"/>
      <c r="F66" s="10"/>
      <c r="G66" s="10"/>
      <c r="H66" s="47"/>
      <c r="I66" s="10"/>
      <c r="J66" s="10"/>
      <c r="K66" s="10"/>
      <c r="L66" s="10"/>
      <c r="M66" s="10"/>
      <c r="N66" s="10"/>
      <c r="O66" s="10"/>
      <c r="P66" s="10"/>
      <c r="Q66" s="10"/>
      <c r="R66" s="10"/>
      <c r="S66" s="10"/>
      <c r="T66" s="10"/>
    </row>
    <row r="67" ht="16.5" customHeight="1">
      <c r="A67" s="10"/>
      <c r="B67" s="10"/>
      <c r="C67" s="10"/>
      <c r="D67" s="10"/>
      <c r="E67" s="10"/>
      <c r="F67" s="10"/>
      <c r="G67" s="10"/>
      <c r="H67" s="47"/>
      <c r="I67" s="10"/>
      <c r="J67" s="10"/>
      <c r="K67" s="10"/>
      <c r="L67" s="10"/>
      <c r="M67" s="10"/>
      <c r="N67" s="10"/>
      <c r="O67" s="10"/>
      <c r="P67" s="10"/>
      <c r="Q67" s="10"/>
      <c r="R67" s="10"/>
      <c r="S67" s="10"/>
      <c r="T67" s="10"/>
    </row>
    <row r="68" ht="16.5" customHeight="1">
      <c r="A68" s="10"/>
      <c r="B68" s="10"/>
      <c r="C68" s="10"/>
      <c r="D68" s="10"/>
      <c r="E68" s="10"/>
      <c r="F68" s="10"/>
      <c r="G68" s="10"/>
      <c r="H68" s="47"/>
      <c r="I68" s="10"/>
      <c r="J68" s="10"/>
      <c r="K68" s="10"/>
      <c r="L68" s="10"/>
      <c r="M68" s="10"/>
      <c r="N68" s="10"/>
      <c r="O68" s="10"/>
      <c r="P68" s="10"/>
      <c r="Q68" s="10"/>
      <c r="R68" s="10"/>
      <c r="S68" s="10"/>
      <c r="T68" s="10"/>
    </row>
    <row r="69" ht="16.5" customHeight="1">
      <c r="A69" s="10"/>
      <c r="B69" s="10"/>
      <c r="C69" s="10"/>
      <c r="D69" s="10"/>
      <c r="E69" s="10"/>
      <c r="F69" s="10"/>
      <c r="G69" s="10"/>
      <c r="H69" s="47"/>
      <c r="I69" s="10"/>
      <c r="J69" s="10"/>
      <c r="K69" s="10"/>
      <c r="L69" s="10"/>
      <c r="M69" s="10"/>
      <c r="N69" s="10"/>
      <c r="O69" s="10"/>
      <c r="P69" s="10"/>
      <c r="Q69" s="10"/>
      <c r="R69" s="10"/>
      <c r="S69" s="10"/>
      <c r="T69" s="10"/>
    </row>
    <row r="70" ht="16.5" customHeight="1">
      <c r="B70" s="10"/>
      <c r="C70" s="10"/>
      <c r="D70" s="10"/>
      <c r="E70" s="10"/>
      <c r="F70" s="10"/>
      <c r="G70" s="10"/>
      <c r="H70" s="47"/>
      <c r="I70" s="10"/>
      <c r="J70" s="10"/>
      <c r="K70" s="10"/>
      <c r="L70" s="10"/>
      <c r="M70" s="10"/>
      <c r="N70" s="10"/>
      <c r="O70" s="10"/>
      <c r="P70" s="10"/>
      <c r="Q70" s="10"/>
      <c r="R70" s="10"/>
      <c r="S70" s="10"/>
      <c r="T70" s="10"/>
    </row>
    <row r="71" ht="16.5" customHeight="1">
      <c r="A71" s="10"/>
      <c r="B71" s="10"/>
      <c r="C71" s="10"/>
      <c r="D71" s="10"/>
      <c r="E71" s="10"/>
      <c r="F71" s="10"/>
      <c r="G71" s="10"/>
      <c r="H71" s="47"/>
      <c r="I71" s="10"/>
      <c r="J71" s="10"/>
      <c r="K71" s="10"/>
      <c r="L71" s="10"/>
      <c r="M71" s="10"/>
      <c r="N71" s="10"/>
      <c r="O71" s="10"/>
      <c r="P71" s="10"/>
      <c r="Q71" s="10"/>
      <c r="R71" s="10"/>
      <c r="S71" s="10"/>
      <c r="T71" s="10"/>
    </row>
    <row r="72" ht="16.5" customHeight="1">
      <c r="A72" s="10"/>
      <c r="B72" s="10"/>
      <c r="C72" s="10"/>
      <c r="D72" s="10"/>
      <c r="E72" s="10"/>
      <c r="F72" s="10"/>
      <c r="G72" s="10"/>
      <c r="H72" s="47"/>
      <c r="I72" s="10"/>
      <c r="J72" s="10"/>
      <c r="K72" s="10"/>
      <c r="L72" s="10"/>
      <c r="M72" s="10"/>
      <c r="N72" s="10"/>
      <c r="O72" s="10"/>
      <c r="P72" s="10"/>
      <c r="Q72" s="10"/>
      <c r="R72" s="10"/>
      <c r="S72" s="10"/>
      <c r="T72" s="10"/>
    </row>
    <row r="73" ht="16.5" customHeight="1">
      <c r="A73" s="10"/>
      <c r="B73" s="10"/>
      <c r="C73" s="10"/>
      <c r="D73" s="10"/>
      <c r="E73" s="10"/>
      <c r="F73" s="10"/>
      <c r="G73" s="10"/>
      <c r="H73" s="47"/>
      <c r="I73" s="10"/>
      <c r="J73" s="10"/>
      <c r="K73" s="10"/>
      <c r="L73" s="10"/>
      <c r="M73" s="10"/>
      <c r="N73" s="10"/>
      <c r="O73" s="10"/>
      <c r="P73" s="10"/>
      <c r="Q73" s="10"/>
      <c r="R73" s="10"/>
      <c r="S73" s="10"/>
      <c r="T73" s="10"/>
    </row>
    <row r="74" ht="16.5" customHeight="1">
      <c r="A74" s="10"/>
      <c r="B74" s="10"/>
      <c r="C74" s="10"/>
      <c r="D74" s="10"/>
      <c r="E74" s="10"/>
      <c r="F74" s="10"/>
      <c r="G74" s="10"/>
      <c r="H74" s="47"/>
      <c r="I74" s="10"/>
      <c r="J74" s="10"/>
      <c r="K74" s="10"/>
      <c r="L74" s="10"/>
      <c r="M74" s="10"/>
      <c r="N74" s="10"/>
      <c r="O74" s="10"/>
      <c r="P74" s="10"/>
      <c r="Q74" s="10"/>
      <c r="R74" s="10"/>
      <c r="S74" s="10"/>
      <c r="T74" s="10"/>
    </row>
    <row r="75" ht="16.5" customHeight="1">
      <c r="A75" s="10"/>
      <c r="B75" s="10"/>
      <c r="C75" s="10"/>
      <c r="D75" s="10"/>
      <c r="E75" s="10"/>
      <c r="F75" s="10"/>
      <c r="G75" s="10"/>
      <c r="H75" s="47"/>
      <c r="I75" s="10"/>
      <c r="J75" s="10"/>
      <c r="K75" s="10"/>
      <c r="L75" s="10"/>
      <c r="M75" s="10"/>
      <c r="N75" s="10"/>
      <c r="O75" s="10"/>
      <c r="P75" s="10"/>
      <c r="Q75" s="10"/>
      <c r="R75" s="10"/>
      <c r="S75" s="10"/>
      <c r="T75" s="10"/>
    </row>
    <row r="76" ht="16.5" customHeight="1">
      <c r="A76" s="10"/>
      <c r="B76" s="10"/>
      <c r="C76" s="10"/>
      <c r="D76" s="10"/>
      <c r="E76" s="10"/>
      <c r="F76" s="10"/>
      <c r="G76" s="10"/>
      <c r="H76" s="47"/>
      <c r="I76" s="10"/>
      <c r="J76" s="10"/>
      <c r="K76" s="10"/>
      <c r="L76" s="10"/>
      <c r="M76" s="10"/>
      <c r="N76" s="10"/>
      <c r="O76" s="10"/>
      <c r="P76" s="10"/>
      <c r="Q76" s="10"/>
      <c r="R76" s="10"/>
      <c r="S76" s="10"/>
      <c r="T76" s="10"/>
    </row>
    <row r="77" ht="16.5" customHeight="1">
      <c r="A77" s="10"/>
      <c r="B77" s="10"/>
      <c r="C77" s="10"/>
      <c r="D77" s="10"/>
      <c r="E77" s="10"/>
      <c r="F77" s="10"/>
      <c r="G77" s="10"/>
      <c r="H77" s="47"/>
      <c r="I77" s="10"/>
      <c r="J77" s="10"/>
      <c r="K77" s="10"/>
      <c r="L77" s="10"/>
      <c r="M77" s="10"/>
      <c r="N77" s="10"/>
      <c r="O77" s="10"/>
      <c r="P77" s="10"/>
      <c r="Q77" s="10"/>
      <c r="R77" s="10"/>
      <c r="S77" s="10"/>
      <c r="T77" s="10"/>
    </row>
    <row r="78" ht="16.5" customHeight="1">
      <c r="A78" s="10"/>
      <c r="B78" s="10"/>
      <c r="C78" s="10"/>
      <c r="D78" s="10"/>
      <c r="E78" s="10"/>
      <c r="F78" s="10"/>
      <c r="G78" s="10"/>
      <c r="H78" s="47"/>
      <c r="I78" s="10"/>
      <c r="J78" s="10"/>
      <c r="K78" s="10"/>
      <c r="L78" s="10"/>
      <c r="M78" s="10"/>
      <c r="N78" s="10"/>
      <c r="O78" s="10"/>
      <c r="P78" s="10"/>
      <c r="Q78" s="10"/>
      <c r="R78" s="10"/>
      <c r="S78" s="10"/>
      <c r="T78" s="10"/>
    </row>
    <row r="79" ht="16.5" customHeight="1">
      <c r="A79" s="10"/>
      <c r="B79" s="10"/>
      <c r="C79" s="10"/>
      <c r="D79" s="10"/>
      <c r="E79" s="10"/>
      <c r="F79" s="10"/>
      <c r="G79" s="10"/>
      <c r="H79" s="47"/>
      <c r="I79" s="10"/>
      <c r="J79" s="10"/>
      <c r="K79" s="10"/>
      <c r="L79" s="10"/>
      <c r="M79" s="10"/>
      <c r="N79" s="10"/>
      <c r="O79" s="10"/>
      <c r="P79" s="10"/>
      <c r="Q79" s="10"/>
      <c r="R79" s="10"/>
      <c r="S79" s="10"/>
      <c r="T79" s="10"/>
    </row>
    <row r="80" ht="16.5" customHeight="1">
      <c r="A80" s="10"/>
      <c r="B80" s="10"/>
      <c r="C80" s="10"/>
      <c r="D80" s="10"/>
      <c r="E80" s="10"/>
      <c r="F80" s="10"/>
      <c r="G80" s="10"/>
      <c r="H80" s="47"/>
      <c r="I80" s="10"/>
      <c r="J80" s="10"/>
      <c r="K80" s="10"/>
      <c r="L80" s="10"/>
      <c r="M80" s="10"/>
      <c r="N80" s="10"/>
      <c r="O80" s="10"/>
      <c r="P80" s="10"/>
      <c r="Q80" s="10"/>
      <c r="R80" s="10"/>
      <c r="S80" s="10"/>
      <c r="T80" s="10"/>
    </row>
    <row r="81" ht="16.5" customHeight="1">
      <c r="A81" s="10"/>
      <c r="B81" s="10"/>
      <c r="C81" s="10"/>
      <c r="D81" s="10"/>
      <c r="E81" s="10"/>
      <c r="F81" s="10"/>
      <c r="G81" s="10"/>
      <c r="H81" s="47"/>
      <c r="I81" s="10"/>
      <c r="J81" s="10"/>
      <c r="K81" s="10"/>
      <c r="L81" s="10"/>
      <c r="M81" s="10"/>
      <c r="N81" s="10"/>
      <c r="O81" s="10"/>
      <c r="P81" s="10"/>
      <c r="Q81" s="10"/>
      <c r="R81" s="10"/>
      <c r="S81" s="10"/>
      <c r="T81" s="10"/>
    </row>
    <row r="82" ht="16.5" customHeight="1">
      <c r="H82" s="59"/>
    </row>
    <row r="83" ht="16.5" customHeight="1">
      <c r="H83" s="59"/>
    </row>
    <row r="84" ht="16.5" customHeight="1">
      <c r="H84" s="59"/>
    </row>
    <row r="85" ht="16.5" customHeight="1">
      <c r="H85" s="59"/>
    </row>
    <row r="86" ht="16.5" customHeight="1">
      <c r="H86" s="59"/>
    </row>
    <row r="87" ht="16.5" customHeight="1">
      <c r="H87" s="59"/>
    </row>
    <row r="88" ht="16.5" customHeight="1">
      <c r="H88" s="59"/>
    </row>
    <row r="89" ht="16.5" customHeight="1">
      <c r="H89" s="59"/>
    </row>
    <row r="90" ht="16.5" customHeight="1">
      <c r="H90" s="59"/>
    </row>
    <row r="91" ht="16.5" customHeight="1">
      <c r="H91" s="59"/>
    </row>
    <row r="92" ht="16.5" customHeight="1">
      <c r="H92" s="59"/>
    </row>
    <row r="93" ht="16.5" customHeight="1">
      <c r="H93" s="59"/>
    </row>
    <row r="94" ht="16.5" customHeight="1">
      <c r="H94" s="59"/>
    </row>
    <row r="95" ht="16.5" customHeight="1">
      <c r="H95" s="59"/>
    </row>
    <row r="96" ht="16.5" customHeight="1">
      <c r="H96" s="59"/>
    </row>
    <row r="97" ht="16.5" customHeight="1">
      <c r="H97" s="59"/>
    </row>
    <row r="98" ht="16.5" customHeight="1">
      <c r="H98" s="59"/>
    </row>
    <row r="99" ht="16.5" customHeight="1">
      <c r="H99" s="59"/>
    </row>
    <row r="100" ht="16.5" customHeight="1">
      <c r="H100" s="59"/>
    </row>
    <row r="101" ht="16.5" customHeight="1">
      <c r="H101" s="59"/>
    </row>
    <row r="102" ht="16.5" customHeight="1">
      <c r="H102" s="59"/>
    </row>
    <row r="103" ht="16.5" customHeight="1">
      <c r="H103" s="59"/>
    </row>
    <row r="104" ht="16.5" customHeight="1">
      <c r="H104" s="59"/>
    </row>
    <row r="105" ht="16.5" customHeight="1">
      <c r="H105" s="59"/>
    </row>
    <row r="106" ht="16.5" customHeight="1">
      <c r="H106" s="59"/>
    </row>
    <row r="107" ht="16.5" customHeight="1">
      <c r="H107" s="59"/>
    </row>
    <row r="108" ht="16.5" customHeight="1">
      <c r="H108" s="59"/>
    </row>
    <row r="109" ht="16.5" customHeight="1">
      <c r="H109" s="59"/>
    </row>
    <row r="110" ht="16.5" customHeight="1">
      <c r="H110" s="59"/>
    </row>
    <row r="111" ht="16.5" customHeight="1">
      <c r="H111" s="59"/>
    </row>
    <row r="112" ht="16.5" customHeight="1">
      <c r="H112" s="59"/>
    </row>
    <row r="113" ht="16.5" customHeight="1">
      <c r="H113" s="59"/>
    </row>
    <row r="114" ht="16.5" customHeight="1">
      <c r="H114" s="59"/>
    </row>
    <row r="115" ht="16.5" customHeight="1">
      <c r="H115" s="59"/>
    </row>
    <row r="116" ht="16.5" customHeight="1">
      <c r="H116" s="59"/>
    </row>
    <row r="117" ht="16.5" customHeight="1">
      <c r="H117" s="59"/>
    </row>
    <row r="118" ht="16.5" customHeight="1">
      <c r="H118" s="59"/>
    </row>
    <row r="119" ht="16.5" customHeight="1">
      <c r="H119" s="59"/>
    </row>
    <row r="120" ht="16.5" customHeight="1">
      <c r="H120" s="59"/>
    </row>
    <row r="121" ht="16.5" customHeight="1">
      <c r="H121" s="59"/>
    </row>
    <row r="122" ht="16.5" customHeight="1">
      <c r="H122" s="59"/>
    </row>
    <row r="123" ht="16.5" customHeight="1">
      <c r="H123" s="59"/>
    </row>
    <row r="124" ht="16.5" customHeight="1">
      <c r="H124" s="59"/>
    </row>
    <row r="125" ht="16.5" customHeight="1">
      <c r="H125" s="59"/>
    </row>
    <row r="126" ht="16.5" customHeight="1">
      <c r="H126" s="59"/>
    </row>
    <row r="127" ht="16.5" customHeight="1">
      <c r="H127" s="59"/>
    </row>
    <row r="128" ht="16.5" customHeight="1">
      <c r="H128" s="59"/>
    </row>
    <row r="129" ht="16.5" customHeight="1">
      <c r="H129" s="59"/>
    </row>
    <row r="130" ht="16.5" customHeight="1">
      <c r="H130" s="59"/>
    </row>
    <row r="131" ht="16.5" customHeight="1">
      <c r="H131" s="59"/>
    </row>
    <row r="132" ht="16.5" customHeight="1">
      <c r="H132" s="59"/>
    </row>
    <row r="133" ht="16.5" customHeight="1">
      <c r="H133" s="59"/>
    </row>
    <row r="134" ht="16.5" customHeight="1">
      <c r="H134" s="59"/>
    </row>
    <row r="135" ht="16.5" customHeight="1">
      <c r="H135" s="59"/>
    </row>
    <row r="136" ht="16.5" customHeight="1">
      <c r="H136" s="59"/>
    </row>
    <row r="137" ht="16.5" customHeight="1">
      <c r="H137" s="59"/>
    </row>
    <row r="138" ht="16.5" customHeight="1">
      <c r="H138" s="59"/>
    </row>
    <row r="139" ht="16.5" customHeight="1">
      <c r="H139" s="59"/>
    </row>
    <row r="140" ht="16.5" customHeight="1">
      <c r="H140" s="59"/>
    </row>
    <row r="141" ht="16.5" customHeight="1">
      <c r="H141" s="59"/>
    </row>
    <row r="142" ht="16.5" customHeight="1">
      <c r="H142" s="59"/>
    </row>
    <row r="143" ht="16.5" customHeight="1">
      <c r="H143" s="59"/>
    </row>
    <row r="144" ht="16.5" customHeight="1">
      <c r="H144" s="59"/>
    </row>
    <row r="145" ht="16.5" customHeight="1">
      <c r="H145" s="59"/>
    </row>
    <row r="146" ht="16.5" customHeight="1">
      <c r="H146" s="59"/>
    </row>
    <row r="147" ht="16.5" customHeight="1">
      <c r="H147" s="59"/>
    </row>
    <row r="148" ht="16.5" customHeight="1">
      <c r="H148" s="59"/>
    </row>
    <row r="149" ht="16.5" customHeight="1">
      <c r="H149" s="59"/>
    </row>
    <row r="150" ht="16.5" customHeight="1">
      <c r="H150" s="59"/>
    </row>
    <row r="151" ht="16.5" customHeight="1">
      <c r="H151" s="59"/>
    </row>
    <row r="152" ht="16.5" customHeight="1">
      <c r="H152" s="59"/>
    </row>
    <row r="153" ht="16.5" customHeight="1">
      <c r="H153" s="59"/>
    </row>
    <row r="154" ht="16.5" customHeight="1">
      <c r="H154" s="59"/>
    </row>
    <row r="155" ht="16.5" customHeight="1">
      <c r="H155" s="59"/>
    </row>
    <row r="156" ht="16.5" customHeight="1">
      <c r="H156" s="59"/>
    </row>
    <row r="157" ht="16.5" customHeight="1">
      <c r="H157" s="59"/>
    </row>
    <row r="158" ht="16.5" customHeight="1">
      <c r="H158" s="59"/>
    </row>
    <row r="159" ht="16.5" customHeight="1">
      <c r="H159" s="59"/>
    </row>
    <row r="160" ht="16.5" customHeight="1">
      <c r="H160" s="59"/>
    </row>
    <row r="161" ht="16.5" customHeight="1">
      <c r="H161" s="59"/>
    </row>
    <row r="162" ht="16.5" customHeight="1">
      <c r="H162" s="59"/>
    </row>
    <row r="163" ht="16.5" customHeight="1">
      <c r="H163" s="59"/>
    </row>
    <row r="164" ht="16.5" customHeight="1">
      <c r="H164" s="59"/>
    </row>
    <row r="165" ht="16.5" customHeight="1">
      <c r="H165" s="59"/>
    </row>
    <row r="166" ht="16.5" customHeight="1">
      <c r="H166" s="59"/>
    </row>
    <row r="167" ht="16.5" customHeight="1">
      <c r="H167" s="59"/>
    </row>
    <row r="168" ht="16.5" customHeight="1">
      <c r="H168" s="59"/>
    </row>
    <row r="169" ht="16.5" customHeight="1">
      <c r="H169" s="59"/>
    </row>
    <row r="170" ht="16.5" customHeight="1">
      <c r="H170" s="59"/>
    </row>
    <row r="171" ht="16.5" customHeight="1">
      <c r="H171" s="59"/>
    </row>
    <row r="172" ht="16.5" customHeight="1">
      <c r="H172" s="59"/>
    </row>
    <row r="173" ht="16.5" customHeight="1">
      <c r="H173" s="59"/>
    </row>
    <row r="174" ht="16.5" customHeight="1">
      <c r="H174" s="59"/>
    </row>
    <row r="175" ht="16.5" customHeight="1">
      <c r="H175" s="59"/>
    </row>
    <row r="176" ht="16.5" customHeight="1">
      <c r="H176" s="59"/>
    </row>
    <row r="177" ht="16.5" customHeight="1">
      <c r="H177" s="59"/>
    </row>
    <row r="178" ht="16.5" customHeight="1">
      <c r="H178" s="59"/>
    </row>
    <row r="179" ht="16.5" customHeight="1">
      <c r="H179" s="59"/>
    </row>
    <row r="180" ht="16.5" customHeight="1">
      <c r="H180" s="59"/>
    </row>
    <row r="181" ht="16.5" customHeight="1">
      <c r="H181" s="59"/>
    </row>
    <row r="182" ht="16.5" customHeight="1">
      <c r="H182" s="59"/>
    </row>
    <row r="183" ht="16.5" customHeight="1">
      <c r="H183" s="59"/>
    </row>
    <row r="184" ht="16.5" customHeight="1">
      <c r="H184" s="59"/>
    </row>
    <row r="185" ht="16.5" customHeight="1">
      <c r="H185" s="59"/>
    </row>
    <row r="186" ht="16.5" customHeight="1">
      <c r="H186" s="59"/>
    </row>
    <row r="187" ht="16.5" customHeight="1">
      <c r="H187" s="59"/>
    </row>
    <row r="188" ht="16.5" customHeight="1">
      <c r="H188" s="59"/>
    </row>
    <row r="189" ht="16.5" customHeight="1">
      <c r="H189" s="59"/>
    </row>
    <row r="190" ht="16.5" customHeight="1">
      <c r="H190" s="59"/>
    </row>
    <row r="191" ht="16.5" customHeight="1">
      <c r="H191" s="59"/>
    </row>
    <row r="192" ht="16.5" customHeight="1">
      <c r="H192" s="59"/>
    </row>
    <row r="193" ht="16.5" customHeight="1">
      <c r="H193" s="59"/>
    </row>
    <row r="194" ht="16.5" customHeight="1">
      <c r="H194" s="59"/>
    </row>
    <row r="195" ht="16.5" customHeight="1">
      <c r="H195" s="59"/>
    </row>
    <row r="196" ht="16.5" customHeight="1">
      <c r="H196" s="59"/>
    </row>
    <row r="197" ht="16.5" customHeight="1">
      <c r="H197" s="59"/>
    </row>
    <row r="198" ht="16.5" customHeight="1">
      <c r="H198" s="59"/>
    </row>
    <row r="199" ht="16.5" customHeight="1">
      <c r="H199" s="59"/>
    </row>
    <row r="200" ht="16.5" customHeight="1">
      <c r="H200" s="59"/>
    </row>
    <row r="201" ht="16.5" customHeight="1">
      <c r="H201" s="59"/>
    </row>
    <row r="202" ht="16.5" customHeight="1">
      <c r="H202" s="59"/>
    </row>
    <row r="203" ht="16.5" customHeight="1">
      <c r="H203" s="59"/>
    </row>
    <row r="204" ht="16.5" customHeight="1">
      <c r="H204" s="59"/>
    </row>
    <row r="205" ht="16.5" customHeight="1">
      <c r="H205" s="59"/>
    </row>
    <row r="206" ht="16.5" customHeight="1">
      <c r="H206" s="59"/>
    </row>
    <row r="207" ht="16.5" customHeight="1">
      <c r="H207" s="59"/>
    </row>
    <row r="208" ht="16.5" customHeight="1">
      <c r="H208" s="59"/>
    </row>
    <row r="209" ht="16.5" customHeight="1">
      <c r="H209" s="59"/>
    </row>
    <row r="210" ht="16.5" customHeight="1">
      <c r="H210" s="59"/>
    </row>
    <row r="211" ht="16.5" customHeight="1">
      <c r="H211" s="59"/>
    </row>
    <row r="212" ht="16.5" customHeight="1">
      <c r="H212" s="59"/>
    </row>
    <row r="213" ht="16.5" customHeight="1">
      <c r="H213" s="59"/>
    </row>
    <row r="214" ht="16.5" customHeight="1">
      <c r="H214" s="59"/>
    </row>
    <row r="215" ht="16.5" customHeight="1">
      <c r="H215" s="59"/>
    </row>
    <row r="216" ht="16.5" customHeight="1">
      <c r="H216" s="59"/>
    </row>
    <row r="217" ht="16.5" customHeight="1">
      <c r="H217" s="59"/>
    </row>
    <row r="218" ht="16.5" customHeight="1">
      <c r="H218" s="59"/>
    </row>
    <row r="219" ht="16.5" customHeight="1">
      <c r="H219" s="59"/>
    </row>
    <row r="220" ht="16.5" customHeight="1">
      <c r="H220" s="59"/>
    </row>
    <row r="221" ht="16.5" customHeight="1">
      <c r="H221" s="59"/>
    </row>
    <row r="222" ht="16.5" customHeight="1">
      <c r="H222" s="59"/>
    </row>
    <row r="223" ht="16.5" customHeight="1">
      <c r="H223" s="59"/>
    </row>
    <row r="224" ht="16.5" customHeight="1">
      <c r="H224" s="59"/>
    </row>
    <row r="225" ht="16.5" customHeight="1">
      <c r="H225" s="59"/>
    </row>
    <row r="226" ht="16.5" customHeight="1">
      <c r="H226" s="59"/>
    </row>
    <row r="227" ht="16.5" customHeight="1">
      <c r="H227" s="59"/>
    </row>
    <row r="228" ht="16.5" customHeight="1">
      <c r="H228" s="59"/>
    </row>
    <row r="229" ht="16.5" customHeight="1">
      <c r="H229" s="59"/>
    </row>
    <row r="230" ht="16.5" customHeight="1">
      <c r="H230" s="59"/>
    </row>
    <row r="231" ht="16.5" customHeight="1">
      <c r="H231" s="59"/>
    </row>
    <row r="232" ht="16.5" customHeight="1">
      <c r="H232" s="59"/>
    </row>
    <row r="233" ht="16.5" customHeight="1">
      <c r="H233" s="59"/>
    </row>
    <row r="234" ht="16.5" customHeight="1">
      <c r="H234" s="59"/>
    </row>
    <row r="235" ht="16.5" customHeight="1">
      <c r="H235" s="59"/>
    </row>
    <row r="236" ht="16.5" customHeight="1">
      <c r="H236" s="59"/>
    </row>
    <row r="237" ht="16.5" customHeight="1">
      <c r="H237" s="59"/>
    </row>
    <row r="238" ht="16.5" customHeight="1">
      <c r="H238" s="59"/>
    </row>
    <row r="239" ht="16.5" customHeight="1">
      <c r="H239" s="59"/>
    </row>
    <row r="240" ht="16.5" customHeight="1">
      <c r="H240" s="59"/>
    </row>
    <row r="241" ht="16.5" customHeight="1">
      <c r="H241" s="59"/>
    </row>
    <row r="242" ht="16.5" customHeight="1">
      <c r="H242" s="59"/>
    </row>
    <row r="243" ht="16.5" customHeight="1">
      <c r="H243" s="59"/>
    </row>
    <row r="244" ht="16.5" customHeight="1">
      <c r="H244" s="59"/>
    </row>
    <row r="245" ht="16.5" customHeight="1">
      <c r="H245" s="59"/>
    </row>
    <row r="246" ht="16.5" customHeight="1">
      <c r="H246" s="59"/>
    </row>
    <row r="247" ht="16.5" customHeight="1">
      <c r="H247" s="59"/>
    </row>
    <row r="248" ht="16.5" customHeight="1">
      <c r="H248" s="59"/>
    </row>
    <row r="249" ht="16.5" customHeight="1">
      <c r="H249" s="59"/>
    </row>
    <row r="250" ht="16.5" customHeight="1">
      <c r="H250" s="59"/>
    </row>
    <row r="251" ht="16.5" customHeight="1">
      <c r="H251" s="59"/>
    </row>
    <row r="252" ht="16.5" customHeight="1">
      <c r="H252" s="59"/>
    </row>
    <row r="253" ht="16.5" customHeight="1">
      <c r="H253" s="59"/>
    </row>
    <row r="254" ht="16.5" customHeight="1">
      <c r="H254" s="59"/>
    </row>
    <row r="255" ht="16.5" customHeight="1">
      <c r="H255" s="59"/>
    </row>
    <row r="256" ht="16.5" customHeight="1">
      <c r="H256" s="59"/>
    </row>
    <row r="257" ht="16.5" customHeight="1">
      <c r="H257" s="59"/>
    </row>
    <row r="258" ht="16.5" customHeight="1">
      <c r="H258" s="59"/>
    </row>
    <row r="259" ht="16.5" customHeight="1">
      <c r="H259" s="59"/>
    </row>
    <row r="260" ht="16.5" customHeight="1">
      <c r="H260" s="59"/>
    </row>
    <row r="261" ht="16.5" customHeight="1">
      <c r="H261" s="59"/>
    </row>
    <row r="262" ht="16.5" customHeight="1">
      <c r="H262" s="59"/>
    </row>
    <row r="263" ht="16.5" customHeight="1">
      <c r="H263" s="59"/>
    </row>
    <row r="264" ht="16.5" customHeight="1">
      <c r="H264" s="59"/>
    </row>
    <row r="265" ht="16.5" customHeight="1">
      <c r="H265" s="59"/>
    </row>
    <row r="266" ht="16.5" customHeight="1">
      <c r="H266" s="59"/>
    </row>
    <row r="267" ht="16.5" customHeight="1">
      <c r="H267" s="59"/>
    </row>
    <row r="268" ht="16.5" customHeight="1">
      <c r="H268" s="59"/>
    </row>
    <row r="269" ht="16.5" customHeight="1">
      <c r="H269" s="59"/>
    </row>
    <row r="270" ht="16.5" customHeight="1">
      <c r="H270" s="59"/>
    </row>
    <row r="271" ht="16.5" customHeight="1">
      <c r="H271" s="59"/>
    </row>
    <row r="272" ht="16.5" customHeight="1">
      <c r="H272" s="59"/>
    </row>
    <row r="273" ht="16.5" customHeight="1">
      <c r="H273" s="59"/>
    </row>
    <row r="274" ht="16.5" customHeight="1">
      <c r="H274" s="59"/>
    </row>
    <row r="275" ht="16.5" customHeight="1">
      <c r="H275" s="59"/>
    </row>
    <row r="276" ht="16.5" customHeight="1">
      <c r="H276" s="59"/>
    </row>
    <row r="277" ht="16.5" customHeight="1">
      <c r="H277" s="59"/>
    </row>
    <row r="278" ht="16.5" customHeight="1">
      <c r="H278" s="59"/>
    </row>
    <row r="279" ht="16.5" customHeight="1">
      <c r="H279" s="59"/>
    </row>
    <row r="280" ht="16.5" customHeight="1">
      <c r="H280" s="59"/>
    </row>
    <row r="281" ht="16.5" customHeight="1">
      <c r="H281" s="59"/>
    </row>
    <row r="282" ht="16.5" customHeight="1">
      <c r="H282" s="59"/>
    </row>
    <row r="283" ht="16.5" customHeight="1">
      <c r="H283" s="59"/>
    </row>
    <row r="284" ht="16.5" customHeight="1">
      <c r="H284" s="59"/>
    </row>
    <row r="285" ht="16.5" customHeight="1">
      <c r="H285" s="59"/>
    </row>
    <row r="286" ht="16.5" customHeight="1">
      <c r="H286" s="59"/>
    </row>
    <row r="287" ht="16.5" customHeight="1">
      <c r="H287" s="59"/>
    </row>
    <row r="288" ht="16.5" customHeight="1">
      <c r="H288" s="59"/>
    </row>
    <row r="289" ht="16.5" customHeight="1">
      <c r="H289" s="59"/>
    </row>
    <row r="290" ht="16.5" customHeight="1">
      <c r="H290" s="59"/>
    </row>
    <row r="291" ht="16.5" customHeight="1">
      <c r="H291" s="59"/>
    </row>
    <row r="292" ht="16.5" customHeight="1">
      <c r="H292" s="59"/>
    </row>
    <row r="293" ht="16.5" customHeight="1">
      <c r="H293" s="59"/>
    </row>
    <row r="294" ht="16.5" customHeight="1">
      <c r="H294" s="59"/>
    </row>
    <row r="295" ht="16.5" customHeight="1">
      <c r="H295" s="59"/>
    </row>
    <row r="296" ht="16.5" customHeight="1">
      <c r="H296" s="59"/>
    </row>
    <row r="297" ht="16.5" customHeight="1">
      <c r="H297" s="59"/>
    </row>
    <row r="298" ht="16.5" customHeight="1">
      <c r="H298" s="59"/>
    </row>
    <row r="299" ht="16.5" customHeight="1">
      <c r="H299" s="59"/>
    </row>
    <row r="300" ht="16.5" customHeight="1">
      <c r="H300" s="59"/>
    </row>
    <row r="301" ht="16.5" customHeight="1">
      <c r="H301" s="59"/>
    </row>
    <row r="302" ht="16.5" customHeight="1">
      <c r="H302" s="59"/>
    </row>
    <row r="303" ht="16.5" customHeight="1">
      <c r="H303" s="59"/>
    </row>
    <row r="304" ht="16.5" customHeight="1">
      <c r="H304" s="59"/>
    </row>
    <row r="305" ht="16.5" customHeight="1">
      <c r="H305" s="59"/>
    </row>
    <row r="306" ht="16.5" customHeight="1">
      <c r="H306" s="59"/>
    </row>
    <row r="307" ht="16.5" customHeight="1">
      <c r="H307" s="59"/>
    </row>
    <row r="308" ht="16.5" customHeight="1">
      <c r="H308" s="59"/>
    </row>
    <row r="309" ht="16.5" customHeight="1">
      <c r="H309" s="59"/>
    </row>
    <row r="310" ht="16.5" customHeight="1">
      <c r="H310" s="59"/>
    </row>
    <row r="311" ht="16.5" customHeight="1">
      <c r="H311" s="59"/>
    </row>
    <row r="312" ht="16.5" customHeight="1">
      <c r="H312" s="59"/>
    </row>
    <row r="313" ht="16.5" customHeight="1">
      <c r="H313" s="59"/>
    </row>
    <row r="314" ht="16.5" customHeight="1">
      <c r="H314" s="59"/>
    </row>
    <row r="315" ht="16.5" customHeight="1">
      <c r="H315" s="59"/>
    </row>
    <row r="316" ht="16.5" customHeight="1">
      <c r="H316" s="59"/>
    </row>
    <row r="317" ht="16.5" customHeight="1">
      <c r="H317" s="59"/>
    </row>
    <row r="318" ht="16.5" customHeight="1">
      <c r="H318" s="59"/>
    </row>
    <row r="319" ht="16.5" customHeight="1">
      <c r="H319" s="59"/>
    </row>
    <row r="320" ht="16.5" customHeight="1">
      <c r="H320" s="59"/>
    </row>
    <row r="321" ht="16.5" customHeight="1">
      <c r="H321" s="59"/>
    </row>
    <row r="322" ht="16.5" customHeight="1">
      <c r="H322" s="59"/>
    </row>
    <row r="323" ht="16.5" customHeight="1">
      <c r="H323" s="59"/>
    </row>
    <row r="324" ht="16.5" customHeight="1">
      <c r="H324" s="59"/>
    </row>
    <row r="325" ht="16.5" customHeight="1">
      <c r="H325" s="59"/>
    </row>
    <row r="326" ht="16.5" customHeight="1">
      <c r="H326" s="59"/>
    </row>
    <row r="327" ht="16.5" customHeight="1">
      <c r="H327" s="59"/>
    </row>
    <row r="328" ht="16.5" customHeight="1">
      <c r="H328" s="59"/>
    </row>
    <row r="329" ht="16.5" customHeight="1">
      <c r="H329" s="59"/>
    </row>
    <row r="330" ht="16.5" customHeight="1">
      <c r="H330" s="59"/>
    </row>
    <row r="331" ht="16.5" customHeight="1">
      <c r="H331" s="59"/>
    </row>
    <row r="332" ht="16.5" customHeight="1">
      <c r="H332" s="59"/>
    </row>
    <row r="333" ht="16.5" customHeight="1">
      <c r="H333" s="59"/>
    </row>
    <row r="334" ht="16.5" customHeight="1">
      <c r="H334" s="59"/>
    </row>
    <row r="335" ht="16.5" customHeight="1">
      <c r="H335" s="59"/>
    </row>
    <row r="336" ht="16.5" customHeight="1">
      <c r="H336" s="59"/>
    </row>
    <row r="337" ht="16.5" customHeight="1">
      <c r="H337" s="59"/>
    </row>
    <row r="338" ht="16.5" customHeight="1">
      <c r="H338" s="59"/>
    </row>
    <row r="339" ht="16.5" customHeight="1">
      <c r="H339" s="59"/>
    </row>
    <row r="340" ht="16.5" customHeight="1">
      <c r="H340" s="59"/>
    </row>
    <row r="341" ht="16.5" customHeight="1">
      <c r="H341" s="59"/>
    </row>
    <row r="342" ht="16.5" customHeight="1">
      <c r="H342" s="59"/>
    </row>
    <row r="343" ht="16.5" customHeight="1">
      <c r="H343" s="59"/>
    </row>
    <row r="344" ht="16.5" customHeight="1">
      <c r="H344" s="59"/>
    </row>
    <row r="345" ht="16.5" customHeight="1">
      <c r="H345" s="59"/>
    </row>
    <row r="346" ht="16.5" customHeight="1">
      <c r="H346" s="59"/>
    </row>
    <row r="347" ht="16.5" customHeight="1">
      <c r="H347" s="59"/>
    </row>
    <row r="348" ht="16.5" customHeight="1">
      <c r="H348" s="59"/>
    </row>
    <row r="349" ht="16.5" customHeight="1">
      <c r="H349" s="59"/>
    </row>
    <row r="350" ht="16.5" customHeight="1">
      <c r="H350" s="59"/>
    </row>
    <row r="351" ht="16.5" customHeight="1">
      <c r="H351" s="59"/>
    </row>
    <row r="352" ht="16.5" customHeight="1">
      <c r="H352" s="59"/>
    </row>
    <row r="353" ht="16.5" customHeight="1">
      <c r="H353" s="59"/>
    </row>
    <row r="354" ht="16.5" customHeight="1">
      <c r="H354" s="59"/>
    </row>
    <row r="355" ht="16.5" customHeight="1">
      <c r="H355" s="59"/>
    </row>
    <row r="356" ht="16.5" customHeight="1">
      <c r="H356" s="59"/>
    </row>
    <row r="357" ht="16.5" customHeight="1">
      <c r="H357" s="59"/>
    </row>
    <row r="358" ht="16.5" customHeight="1">
      <c r="H358" s="59"/>
    </row>
    <row r="359" ht="16.5" customHeight="1">
      <c r="H359" s="59"/>
    </row>
    <row r="360" ht="16.5" customHeight="1">
      <c r="H360" s="59"/>
    </row>
    <row r="361" ht="16.5" customHeight="1">
      <c r="H361" s="59"/>
    </row>
    <row r="362" ht="16.5" customHeight="1">
      <c r="H362" s="59"/>
    </row>
    <row r="363" ht="16.5" customHeight="1">
      <c r="H363" s="59"/>
    </row>
    <row r="364" ht="16.5" customHeight="1">
      <c r="H364" s="59"/>
    </row>
    <row r="365" ht="16.5" customHeight="1">
      <c r="H365" s="59"/>
    </row>
    <row r="366" ht="16.5" customHeight="1">
      <c r="H366" s="59"/>
    </row>
    <row r="367" ht="16.5" customHeight="1">
      <c r="H367" s="59"/>
    </row>
    <row r="368" ht="16.5" customHeight="1">
      <c r="H368" s="59"/>
    </row>
    <row r="369" ht="16.5" customHeight="1">
      <c r="H369" s="59"/>
    </row>
    <row r="370" ht="16.5" customHeight="1">
      <c r="H370" s="59"/>
    </row>
    <row r="371" ht="16.5" customHeight="1">
      <c r="H371" s="59"/>
    </row>
    <row r="372" ht="16.5" customHeight="1">
      <c r="H372" s="59"/>
    </row>
    <row r="373" ht="16.5" customHeight="1">
      <c r="H373" s="59"/>
    </row>
    <row r="374" ht="16.5" customHeight="1">
      <c r="H374" s="59"/>
    </row>
    <row r="375" ht="16.5" customHeight="1">
      <c r="H375" s="59"/>
    </row>
    <row r="376" ht="16.5" customHeight="1">
      <c r="H376" s="59"/>
    </row>
    <row r="377" ht="16.5" customHeight="1">
      <c r="H377" s="59"/>
    </row>
    <row r="378" ht="16.5" customHeight="1">
      <c r="H378" s="59"/>
    </row>
    <row r="379" ht="16.5" customHeight="1">
      <c r="H379" s="59"/>
    </row>
    <row r="380" ht="16.5" customHeight="1">
      <c r="H380" s="59"/>
    </row>
    <row r="381" ht="16.5" customHeight="1">
      <c r="H381" s="59"/>
    </row>
    <row r="382" ht="16.5" customHeight="1">
      <c r="H382" s="59"/>
    </row>
    <row r="383" ht="16.5" customHeight="1">
      <c r="H383" s="59"/>
    </row>
    <row r="384" ht="16.5" customHeight="1">
      <c r="H384" s="59"/>
    </row>
    <row r="385" ht="16.5" customHeight="1">
      <c r="H385" s="59"/>
    </row>
    <row r="386" ht="16.5" customHeight="1">
      <c r="H386" s="59"/>
    </row>
    <row r="387" ht="16.5" customHeight="1">
      <c r="H387" s="59"/>
    </row>
    <row r="388" ht="16.5" customHeight="1">
      <c r="H388" s="59"/>
    </row>
    <row r="389" ht="16.5" customHeight="1">
      <c r="H389" s="59"/>
    </row>
    <row r="390" ht="16.5" customHeight="1">
      <c r="H390" s="59"/>
    </row>
    <row r="391" ht="16.5" customHeight="1">
      <c r="H391" s="59"/>
    </row>
    <row r="392" ht="16.5" customHeight="1">
      <c r="H392" s="59"/>
    </row>
    <row r="393" ht="16.5" customHeight="1">
      <c r="H393" s="59"/>
    </row>
    <row r="394" ht="16.5" customHeight="1">
      <c r="H394" s="59"/>
    </row>
    <row r="395" ht="16.5" customHeight="1">
      <c r="H395" s="59"/>
    </row>
    <row r="396" ht="16.5" customHeight="1">
      <c r="H396" s="59"/>
    </row>
    <row r="397" ht="16.5" customHeight="1">
      <c r="H397" s="59"/>
    </row>
    <row r="398" ht="16.5" customHeight="1">
      <c r="H398" s="59"/>
    </row>
    <row r="399" ht="16.5" customHeight="1">
      <c r="H399" s="59"/>
    </row>
    <row r="400" ht="16.5" customHeight="1">
      <c r="H400" s="59"/>
    </row>
    <row r="401" ht="16.5" customHeight="1">
      <c r="H401" s="59"/>
    </row>
    <row r="402" ht="16.5" customHeight="1">
      <c r="H402" s="59"/>
    </row>
    <row r="403" ht="16.5" customHeight="1">
      <c r="H403" s="59"/>
    </row>
    <row r="404" ht="16.5" customHeight="1">
      <c r="H404" s="59"/>
    </row>
    <row r="405" ht="16.5" customHeight="1">
      <c r="H405" s="59"/>
    </row>
    <row r="406" ht="16.5" customHeight="1">
      <c r="H406" s="59"/>
    </row>
    <row r="407" ht="16.5" customHeight="1">
      <c r="H407" s="59"/>
    </row>
    <row r="408" ht="16.5" customHeight="1">
      <c r="H408" s="59"/>
    </row>
    <row r="409" ht="16.5" customHeight="1">
      <c r="H409" s="59"/>
    </row>
    <row r="410" ht="16.5" customHeight="1">
      <c r="H410" s="59"/>
    </row>
    <row r="411" ht="16.5" customHeight="1">
      <c r="H411" s="59"/>
    </row>
    <row r="412" ht="16.5" customHeight="1">
      <c r="H412" s="59"/>
    </row>
    <row r="413" ht="16.5" customHeight="1">
      <c r="H413" s="59"/>
    </row>
    <row r="414" ht="16.5" customHeight="1">
      <c r="H414" s="59"/>
    </row>
    <row r="415" ht="16.5" customHeight="1">
      <c r="H415" s="59"/>
    </row>
    <row r="416" ht="16.5" customHeight="1">
      <c r="H416" s="59"/>
    </row>
    <row r="417" ht="16.5" customHeight="1">
      <c r="H417" s="59"/>
    </row>
    <row r="418" ht="16.5" customHeight="1">
      <c r="H418" s="59"/>
    </row>
    <row r="419" ht="16.5" customHeight="1">
      <c r="H419" s="59"/>
    </row>
    <row r="420" ht="16.5" customHeight="1">
      <c r="H420" s="59"/>
    </row>
    <row r="421" ht="16.5" customHeight="1">
      <c r="H421" s="59"/>
    </row>
    <row r="422" ht="16.5" customHeight="1">
      <c r="H422" s="59"/>
    </row>
    <row r="423" ht="16.5" customHeight="1">
      <c r="H423" s="59"/>
    </row>
    <row r="424" ht="16.5" customHeight="1">
      <c r="H424" s="59"/>
    </row>
    <row r="425" ht="16.5" customHeight="1">
      <c r="H425" s="59"/>
    </row>
    <row r="426" ht="16.5" customHeight="1">
      <c r="H426" s="59"/>
    </row>
    <row r="427" ht="16.5" customHeight="1">
      <c r="H427" s="59"/>
    </row>
    <row r="428" ht="16.5" customHeight="1">
      <c r="H428" s="59"/>
    </row>
    <row r="429" ht="16.5" customHeight="1">
      <c r="H429" s="59"/>
    </row>
    <row r="430" ht="16.5" customHeight="1">
      <c r="H430" s="59"/>
    </row>
    <row r="431" ht="16.5" customHeight="1">
      <c r="H431" s="59"/>
    </row>
    <row r="432" ht="16.5" customHeight="1">
      <c r="H432" s="59"/>
    </row>
    <row r="433" ht="16.5" customHeight="1">
      <c r="H433" s="59"/>
    </row>
    <row r="434" ht="16.5" customHeight="1">
      <c r="H434" s="59"/>
    </row>
    <row r="435" ht="16.5" customHeight="1">
      <c r="H435" s="59"/>
    </row>
    <row r="436" ht="16.5" customHeight="1">
      <c r="H436" s="59"/>
    </row>
    <row r="437" ht="16.5" customHeight="1">
      <c r="H437" s="59"/>
    </row>
    <row r="438" ht="16.5" customHeight="1">
      <c r="H438" s="59"/>
    </row>
    <row r="439" ht="16.5" customHeight="1">
      <c r="H439" s="59"/>
    </row>
    <row r="440" ht="16.5" customHeight="1">
      <c r="H440" s="59"/>
    </row>
    <row r="441" ht="16.5" customHeight="1">
      <c r="H441" s="59"/>
    </row>
    <row r="442" ht="16.5" customHeight="1">
      <c r="H442" s="59"/>
    </row>
    <row r="443" ht="16.5" customHeight="1">
      <c r="H443" s="59"/>
    </row>
    <row r="444" ht="16.5" customHeight="1">
      <c r="H444" s="59"/>
    </row>
    <row r="445" ht="16.5" customHeight="1">
      <c r="H445" s="59"/>
    </row>
    <row r="446" ht="16.5" customHeight="1">
      <c r="H446" s="59"/>
    </row>
    <row r="447" ht="16.5" customHeight="1">
      <c r="H447" s="59"/>
    </row>
    <row r="448" ht="16.5" customHeight="1">
      <c r="H448" s="59"/>
    </row>
    <row r="449" ht="16.5" customHeight="1">
      <c r="H449" s="59"/>
    </row>
    <row r="450" ht="16.5" customHeight="1">
      <c r="H450" s="59"/>
    </row>
    <row r="451" ht="16.5" customHeight="1">
      <c r="H451" s="59"/>
    </row>
    <row r="452" ht="16.5" customHeight="1">
      <c r="H452" s="59"/>
    </row>
    <row r="453" ht="16.5" customHeight="1">
      <c r="H453" s="59"/>
    </row>
    <row r="454" ht="16.5" customHeight="1">
      <c r="H454" s="59"/>
    </row>
    <row r="455" ht="16.5" customHeight="1">
      <c r="H455" s="59"/>
    </row>
    <row r="456" ht="16.5" customHeight="1">
      <c r="H456" s="59"/>
    </row>
    <row r="457" ht="16.5" customHeight="1">
      <c r="H457" s="59"/>
    </row>
    <row r="458" ht="16.5" customHeight="1">
      <c r="H458" s="59"/>
    </row>
    <row r="459" ht="16.5" customHeight="1">
      <c r="H459" s="59"/>
    </row>
    <row r="460" ht="16.5" customHeight="1">
      <c r="H460" s="59"/>
    </row>
    <row r="461" ht="16.5" customHeight="1">
      <c r="H461" s="59"/>
    </row>
    <row r="462" ht="16.5" customHeight="1">
      <c r="H462" s="59"/>
    </row>
    <row r="463" ht="16.5" customHeight="1">
      <c r="H463" s="59"/>
    </row>
    <row r="464" ht="16.5" customHeight="1">
      <c r="H464" s="59"/>
    </row>
    <row r="465" ht="16.5" customHeight="1">
      <c r="H465" s="59"/>
    </row>
    <row r="466" ht="16.5" customHeight="1">
      <c r="H466" s="59"/>
    </row>
    <row r="467" ht="16.5" customHeight="1">
      <c r="H467" s="59"/>
    </row>
    <row r="468" ht="16.5" customHeight="1">
      <c r="H468" s="59"/>
    </row>
    <row r="469" ht="16.5" customHeight="1">
      <c r="H469" s="59"/>
    </row>
    <row r="470" ht="16.5" customHeight="1">
      <c r="H470" s="59"/>
    </row>
    <row r="471" ht="16.5" customHeight="1">
      <c r="H471" s="59"/>
    </row>
    <row r="472" ht="16.5" customHeight="1">
      <c r="H472" s="59"/>
    </row>
    <row r="473" ht="16.5" customHeight="1">
      <c r="H473" s="59"/>
    </row>
    <row r="474" ht="16.5" customHeight="1">
      <c r="H474" s="59"/>
    </row>
    <row r="475" ht="16.5" customHeight="1">
      <c r="H475" s="59"/>
    </row>
    <row r="476" ht="16.5" customHeight="1">
      <c r="H476" s="59"/>
    </row>
    <row r="477" ht="16.5" customHeight="1">
      <c r="H477" s="59"/>
    </row>
    <row r="478" ht="16.5" customHeight="1">
      <c r="H478" s="59"/>
    </row>
    <row r="479" ht="16.5" customHeight="1">
      <c r="H479" s="59"/>
    </row>
    <row r="480" ht="16.5" customHeight="1">
      <c r="H480" s="59"/>
    </row>
    <row r="481" ht="16.5" customHeight="1">
      <c r="H481" s="59"/>
    </row>
    <row r="482" ht="16.5" customHeight="1">
      <c r="H482" s="59"/>
    </row>
    <row r="483" ht="16.5" customHeight="1">
      <c r="H483" s="59"/>
    </row>
    <row r="484" ht="16.5" customHeight="1">
      <c r="H484" s="59"/>
    </row>
    <row r="485" ht="16.5" customHeight="1">
      <c r="H485" s="59"/>
    </row>
    <row r="486" ht="16.5" customHeight="1">
      <c r="H486" s="59"/>
    </row>
    <row r="487" ht="16.5" customHeight="1">
      <c r="H487" s="59"/>
    </row>
    <row r="488" ht="16.5" customHeight="1">
      <c r="H488" s="59"/>
    </row>
    <row r="489" ht="16.5" customHeight="1">
      <c r="H489" s="59"/>
    </row>
    <row r="490" ht="16.5" customHeight="1">
      <c r="H490" s="59"/>
    </row>
    <row r="491" ht="16.5" customHeight="1">
      <c r="H491" s="59"/>
    </row>
    <row r="492" ht="16.5" customHeight="1">
      <c r="H492" s="59"/>
    </row>
    <row r="493" ht="16.5" customHeight="1">
      <c r="H493" s="59"/>
    </row>
    <row r="494" ht="16.5" customHeight="1">
      <c r="H494" s="59"/>
    </row>
    <row r="495" ht="16.5" customHeight="1">
      <c r="H495" s="59"/>
    </row>
    <row r="496" ht="16.5" customHeight="1">
      <c r="H496" s="59"/>
    </row>
    <row r="497" ht="16.5" customHeight="1">
      <c r="H497" s="59"/>
    </row>
    <row r="498" ht="16.5" customHeight="1">
      <c r="H498" s="59"/>
    </row>
    <row r="499" ht="16.5" customHeight="1">
      <c r="H499" s="59"/>
    </row>
    <row r="500" ht="16.5" customHeight="1">
      <c r="H500" s="59"/>
    </row>
    <row r="501" ht="16.5" customHeight="1">
      <c r="H501" s="59"/>
    </row>
    <row r="502" ht="16.5" customHeight="1">
      <c r="H502" s="59"/>
    </row>
    <row r="503" ht="16.5" customHeight="1">
      <c r="H503" s="59"/>
    </row>
    <row r="504" ht="16.5" customHeight="1">
      <c r="H504" s="59"/>
    </row>
    <row r="505" ht="16.5" customHeight="1">
      <c r="H505" s="59"/>
    </row>
    <row r="506" ht="16.5" customHeight="1">
      <c r="H506" s="59"/>
    </row>
    <row r="507" ht="16.5" customHeight="1">
      <c r="H507" s="59"/>
    </row>
    <row r="508" ht="16.5" customHeight="1">
      <c r="H508" s="59"/>
    </row>
    <row r="509" ht="16.5" customHeight="1">
      <c r="H509" s="59"/>
    </row>
    <row r="510" ht="16.5" customHeight="1">
      <c r="H510" s="59"/>
    </row>
    <row r="511" ht="16.5" customHeight="1">
      <c r="H511" s="59"/>
    </row>
    <row r="512" ht="16.5" customHeight="1">
      <c r="H512" s="59"/>
    </row>
    <row r="513" ht="16.5" customHeight="1">
      <c r="H513" s="59"/>
    </row>
    <row r="514" ht="16.5" customHeight="1">
      <c r="H514" s="59"/>
    </row>
    <row r="515" ht="16.5" customHeight="1">
      <c r="H515" s="59"/>
    </row>
    <row r="516" ht="16.5" customHeight="1">
      <c r="H516" s="59"/>
    </row>
    <row r="517" ht="16.5" customHeight="1">
      <c r="H517" s="59"/>
    </row>
    <row r="518" ht="16.5" customHeight="1">
      <c r="H518" s="59"/>
    </row>
    <row r="519" ht="16.5" customHeight="1">
      <c r="H519" s="59"/>
    </row>
    <row r="520" ht="16.5" customHeight="1">
      <c r="H520" s="59"/>
    </row>
    <row r="521" ht="16.5" customHeight="1">
      <c r="H521" s="59"/>
    </row>
    <row r="522" ht="16.5" customHeight="1">
      <c r="H522" s="59"/>
    </row>
    <row r="523" ht="16.5" customHeight="1">
      <c r="H523" s="59"/>
    </row>
    <row r="524" ht="16.5" customHeight="1">
      <c r="H524" s="59"/>
    </row>
    <row r="525" ht="16.5" customHeight="1">
      <c r="H525" s="59"/>
    </row>
    <row r="526" ht="16.5" customHeight="1">
      <c r="H526" s="59"/>
    </row>
    <row r="527" ht="16.5" customHeight="1">
      <c r="H527" s="59"/>
    </row>
    <row r="528" ht="16.5" customHeight="1">
      <c r="H528" s="59"/>
    </row>
    <row r="529" ht="16.5" customHeight="1">
      <c r="H529" s="59"/>
    </row>
    <row r="530" ht="16.5" customHeight="1">
      <c r="H530" s="59"/>
    </row>
    <row r="531" ht="16.5" customHeight="1">
      <c r="H531" s="59"/>
    </row>
    <row r="532" ht="16.5" customHeight="1">
      <c r="H532" s="59"/>
    </row>
    <row r="533" ht="16.5" customHeight="1">
      <c r="H533" s="59"/>
    </row>
    <row r="534" ht="16.5" customHeight="1">
      <c r="H534" s="59"/>
    </row>
    <row r="535" ht="16.5" customHeight="1">
      <c r="H535" s="59"/>
    </row>
    <row r="536" ht="16.5" customHeight="1">
      <c r="H536" s="59"/>
    </row>
    <row r="537" ht="16.5" customHeight="1">
      <c r="H537" s="59"/>
    </row>
    <row r="538" ht="16.5" customHeight="1">
      <c r="H538" s="59"/>
    </row>
    <row r="539" ht="16.5" customHeight="1">
      <c r="H539" s="59"/>
    </row>
    <row r="540" ht="16.5" customHeight="1">
      <c r="H540" s="59"/>
    </row>
    <row r="541" ht="16.5" customHeight="1">
      <c r="H541" s="59"/>
    </row>
    <row r="542" ht="16.5" customHeight="1">
      <c r="H542" s="59"/>
    </row>
    <row r="543" ht="16.5" customHeight="1">
      <c r="H543" s="59"/>
    </row>
    <row r="544" ht="16.5" customHeight="1">
      <c r="H544" s="59"/>
    </row>
    <row r="545" ht="16.5" customHeight="1">
      <c r="H545" s="59"/>
    </row>
    <row r="546" ht="16.5" customHeight="1">
      <c r="H546" s="59"/>
    </row>
    <row r="547" ht="16.5" customHeight="1">
      <c r="H547" s="59"/>
    </row>
    <row r="548" ht="16.5" customHeight="1">
      <c r="H548" s="59"/>
    </row>
    <row r="549" ht="16.5" customHeight="1">
      <c r="H549" s="59"/>
    </row>
    <row r="550" ht="16.5" customHeight="1">
      <c r="H550" s="59"/>
    </row>
    <row r="551" ht="16.5" customHeight="1">
      <c r="H551" s="59"/>
    </row>
    <row r="552" ht="16.5" customHeight="1">
      <c r="H552" s="59"/>
    </row>
    <row r="553" ht="16.5" customHeight="1">
      <c r="H553" s="59"/>
    </row>
    <row r="554" ht="16.5" customHeight="1">
      <c r="H554" s="59"/>
    </row>
    <row r="555" ht="16.5" customHeight="1">
      <c r="H555" s="59"/>
    </row>
    <row r="556" ht="16.5" customHeight="1">
      <c r="H556" s="59"/>
    </row>
    <row r="557" ht="16.5" customHeight="1">
      <c r="H557" s="59"/>
    </row>
    <row r="558" ht="16.5" customHeight="1">
      <c r="H558" s="59"/>
    </row>
    <row r="559" ht="16.5" customHeight="1">
      <c r="H559" s="59"/>
    </row>
    <row r="560" ht="16.5" customHeight="1">
      <c r="H560" s="59"/>
    </row>
    <row r="561" ht="16.5" customHeight="1">
      <c r="H561" s="59"/>
    </row>
    <row r="562" ht="16.5" customHeight="1">
      <c r="H562" s="59"/>
    </row>
    <row r="563" ht="16.5" customHeight="1">
      <c r="H563" s="59"/>
    </row>
    <row r="564" ht="16.5" customHeight="1">
      <c r="H564" s="59"/>
    </row>
    <row r="565" ht="16.5" customHeight="1">
      <c r="H565" s="59"/>
    </row>
    <row r="566" ht="16.5" customHeight="1">
      <c r="H566" s="59"/>
    </row>
    <row r="567" ht="16.5" customHeight="1">
      <c r="H567" s="59"/>
    </row>
    <row r="568" ht="16.5" customHeight="1">
      <c r="H568" s="59"/>
    </row>
    <row r="569" ht="16.5" customHeight="1">
      <c r="H569" s="59"/>
    </row>
    <row r="570" ht="16.5" customHeight="1">
      <c r="H570" s="59"/>
    </row>
    <row r="571" ht="16.5" customHeight="1">
      <c r="H571" s="59"/>
    </row>
    <row r="572" ht="16.5" customHeight="1">
      <c r="H572" s="59"/>
    </row>
    <row r="573" ht="16.5" customHeight="1">
      <c r="H573" s="59"/>
    </row>
    <row r="574" ht="16.5" customHeight="1">
      <c r="H574" s="59"/>
    </row>
    <row r="575" ht="16.5" customHeight="1">
      <c r="H575" s="59"/>
    </row>
    <row r="576" ht="16.5" customHeight="1">
      <c r="H576" s="59"/>
    </row>
    <row r="577" ht="16.5" customHeight="1">
      <c r="H577" s="59"/>
    </row>
    <row r="578" ht="16.5" customHeight="1">
      <c r="H578" s="59"/>
    </row>
    <row r="579" ht="16.5" customHeight="1">
      <c r="H579" s="59"/>
    </row>
    <row r="580" ht="16.5" customHeight="1">
      <c r="H580" s="59"/>
    </row>
    <row r="581" ht="16.5" customHeight="1">
      <c r="H581" s="59"/>
    </row>
    <row r="582" ht="16.5" customHeight="1">
      <c r="H582" s="59"/>
    </row>
    <row r="583" ht="16.5" customHeight="1">
      <c r="H583" s="59"/>
    </row>
    <row r="584" ht="16.5" customHeight="1">
      <c r="H584" s="59"/>
    </row>
    <row r="585" ht="16.5" customHeight="1">
      <c r="H585" s="59"/>
    </row>
    <row r="586" ht="16.5" customHeight="1">
      <c r="H586" s="59"/>
    </row>
    <row r="587" ht="16.5" customHeight="1">
      <c r="H587" s="59"/>
    </row>
    <row r="588" ht="16.5" customHeight="1">
      <c r="H588" s="59"/>
    </row>
    <row r="589" ht="16.5" customHeight="1">
      <c r="H589" s="59"/>
    </row>
    <row r="590" ht="16.5" customHeight="1">
      <c r="H590" s="59"/>
    </row>
    <row r="591" ht="16.5" customHeight="1">
      <c r="H591" s="59"/>
    </row>
    <row r="592" ht="16.5" customHeight="1">
      <c r="H592" s="59"/>
    </row>
    <row r="593" ht="16.5" customHeight="1">
      <c r="H593" s="59"/>
    </row>
    <row r="594" ht="16.5" customHeight="1">
      <c r="H594" s="59"/>
    </row>
    <row r="595" ht="16.5" customHeight="1">
      <c r="H595" s="59"/>
    </row>
    <row r="596" ht="16.5" customHeight="1">
      <c r="H596" s="59"/>
    </row>
    <row r="597" ht="16.5" customHeight="1">
      <c r="H597" s="59"/>
    </row>
    <row r="598" ht="16.5" customHeight="1">
      <c r="H598" s="59"/>
    </row>
    <row r="599" ht="16.5" customHeight="1">
      <c r="H599" s="59"/>
    </row>
    <row r="600" ht="16.5" customHeight="1">
      <c r="H600" s="59"/>
    </row>
    <row r="601" ht="16.5" customHeight="1">
      <c r="H601" s="59"/>
    </row>
    <row r="602" ht="16.5" customHeight="1">
      <c r="H602" s="59"/>
    </row>
    <row r="603" ht="16.5" customHeight="1">
      <c r="H603" s="59"/>
    </row>
    <row r="604" ht="16.5" customHeight="1">
      <c r="H604" s="59"/>
    </row>
    <row r="605" ht="16.5" customHeight="1">
      <c r="H605" s="59"/>
    </row>
    <row r="606" ht="16.5" customHeight="1">
      <c r="H606" s="59"/>
    </row>
    <row r="607" ht="16.5" customHeight="1">
      <c r="H607" s="59"/>
    </row>
    <row r="608" ht="16.5" customHeight="1">
      <c r="H608" s="59"/>
    </row>
    <row r="609" ht="16.5" customHeight="1">
      <c r="H609" s="59"/>
    </row>
    <row r="610" ht="16.5" customHeight="1">
      <c r="H610" s="59"/>
    </row>
    <row r="611" ht="16.5" customHeight="1">
      <c r="H611" s="59"/>
    </row>
    <row r="612" ht="16.5" customHeight="1">
      <c r="H612" s="59"/>
    </row>
    <row r="613" ht="16.5" customHeight="1">
      <c r="H613" s="59"/>
    </row>
    <row r="614" ht="16.5" customHeight="1">
      <c r="H614" s="59"/>
    </row>
    <row r="615" ht="16.5" customHeight="1">
      <c r="H615" s="59"/>
    </row>
    <row r="616" ht="16.5" customHeight="1">
      <c r="H616" s="59"/>
    </row>
    <row r="617" ht="16.5" customHeight="1">
      <c r="H617" s="59"/>
    </row>
    <row r="618" ht="16.5" customHeight="1">
      <c r="H618" s="59"/>
    </row>
    <row r="619" ht="16.5" customHeight="1">
      <c r="H619" s="59"/>
    </row>
    <row r="620" ht="16.5" customHeight="1">
      <c r="H620" s="59"/>
    </row>
    <row r="621" ht="16.5" customHeight="1">
      <c r="H621" s="59"/>
    </row>
    <row r="622" ht="16.5" customHeight="1">
      <c r="H622" s="59"/>
    </row>
    <row r="623" ht="16.5" customHeight="1">
      <c r="H623" s="59"/>
    </row>
    <row r="624" ht="16.5" customHeight="1">
      <c r="H624" s="59"/>
    </row>
    <row r="625" ht="16.5" customHeight="1">
      <c r="H625" s="59"/>
    </row>
    <row r="626" ht="16.5" customHeight="1">
      <c r="H626" s="59"/>
    </row>
    <row r="627" ht="16.5" customHeight="1">
      <c r="H627" s="59"/>
    </row>
    <row r="628" ht="16.5" customHeight="1">
      <c r="H628" s="59"/>
    </row>
    <row r="629" ht="16.5" customHeight="1">
      <c r="H629" s="59"/>
    </row>
    <row r="630" ht="16.5" customHeight="1">
      <c r="H630" s="59"/>
    </row>
    <row r="631" ht="16.5" customHeight="1">
      <c r="H631" s="59"/>
    </row>
    <row r="632" ht="16.5" customHeight="1">
      <c r="H632" s="59"/>
    </row>
    <row r="633" ht="16.5" customHeight="1">
      <c r="H633" s="59"/>
    </row>
    <row r="634" ht="16.5" customHeight="1">
      <c r="H634" s="59"/>
    </row>
    <row r="635" ht="16.5" customHeight="1">
      <c r="H635" s="59"/>
    </row>
    <row r="636" ht="16.5" customHeight="1">
      <c r="H636" s="59"/>
    </row>
    <row r="637" ht="16.5" customHeight="1">
      <c r="H637" s="59"/>
    </row>
    <row r="638" ht="16.5" customHeight="1">
      <c r="H638" s="59"/>
    </row>
    <row r="639" ht="16.5" customHeight="1">
      <c r="H639" s="59"/>
    </row>
    <row r="640" ht="16.5" customHeight="1">
      <c r="H640" s="59"/>
    </row>
    <row r="641" ht="16.5" customHeight="1">
      <c r="H641" s="59"/>
    </row>
    <row r="642" ht="16.5" customHeight="1">
      <c r="H642" s="59"/>
    </row>
    <row r="643" ht="16.5" customHeight="1">
      <c r="H643" s="59"/>
    </row>
    <row r="644" ht="16.5" customHeight="1">
      <c r="H644" s="59"/>
    </row>
    <row r="645" ht="16.5" customHeight="1">
      <c r="H645" s="59"/>
    </row>
    <row r="646" ht="16.5" customHeight="1">
      <c r="H646" s="59"/>
    </row>
    <row r="647" ht="16.5" customHeight="1">
      <c r="H647" s="59"/>
    </row>
    <row r="648" ht="16.5" customHeight="1">
      <c r="H648" s="59"/>
    </row>
    <row r="649" ht="16.5" customHeight="1">
      <c r="H649" s="59"/>
    </row>
    <row r="650" ht="16.5" customHeight="1">
      <c r="H650" s="59"/>
    </row>
    <row r="651" ht="16.5" customHeight="1">
      <c r="H651" s="59"/>
    </row>
    <row r="652" ht="16.5" customHeight="1">
      <c r="H652" s="59"/>
    </row>
    <row r="653" ht="16.5" customHeight="1">
      <c r="H653" s="59"/>
    </row>
    <row r="654" ht="16.5" customHeight="1">
      <c r="H654" s="59"/>
    </row>
    <row r="655" ht="16.5" customHeight="1">
      <c r="H655" s="59"/>
    </row>
    <row r="656" ht="16.5" customHeight="1">
      <c r="H656" s="59"/>
    </row>
    <row r="657" ht="16.5" customHeight="1">
      <c r="H657" s="59"/>
    </row>
    <row r="658" ht="16.5" customHeight="1">
      <c r="H658" s="59"/>
    </row>
    <row r="659" ht="16.5" customHeight="1">
      <c r="H659" s="59"/>
    </row>
    <row r="660" ht="16.5" customHeight="1">
      <c r="H660" s="59"/>
    </row>
    <row r="661" ht="16.5" customHeight="1">
      <c r="H661" s="59"/>
    </row>
    <row r="662" ht="16.5" customHeight="1">
      <c r="H662" s="59"/>
    </row>
    <row r="663" ht="16.5" customHeight="1">
      <c r="H663" s="59"/>
    </row>
    <row r="664" ht="16.5" customHeight="1">
      <c r="H664" s="59"/>
    </row>
    <row r="665" ht="16.5" customHeight="1">
      <c r="H665" s="59"/>
    </row>
    <row r="666" ht="16.5" customHeight="1">
      <c r="H666" s="59"/>
    </row>
    <row r="667" ht="16.5" customHeight="1">
      <c r="H667" s="59"/>
    </row>
    <row r="668" ht="16.5" customHeight="1">
      <c r="H668" s="59"/>
    </row>
    <row r="669" ht="16.5" customHeight="1">
      <c r="H669" s="59"/>
    </row>
    <row r="670" ht="16.5" customHeight="1">
      <c r="H670" s="59"/>
    </row>
    <row r="671" ht="16.5" customHeight="1">
      <c r="H671" s="59"/>
    </row>
    <row r="672" ht="16.5" customHeight="1">
      <c r="H672" s="59"/>
    </row>
    <row r="673" ht="16.5" customHeight="1">
      <c r="H673" s="59"/>
    </row>
    <row r="674" ht="16.5" customHeight="1">
      <c r="H674" s="59"/>
    </row>
    <row r="675" ht="16.5" customHeight="1">
      <c r="H675" s="59"/>
    </row>
    <row r="676" ht="16.5" customHeight="1">
      <c r="H676" s="59"/>
    </row>
    <row r="677" ht="16.5" customHeight="1">
      <c r="H677" s="59"/>
    </row>
    <row r="678" ht="16.5" customHeight="1">
      <c r="H678" s="59"/>
    </row>
    <row r="679" ht="16.5" customHeight="1">
      <c r="H679" s="59"/>
    </row>
    <row r="680" ht="16.5" customHeight="1">
      <c r="H680" s="59"/>
    </row>
    <row r="681" ht="16.5" customHeight="1">
      <c r="H681" s="59"/>
    </row>
    <row r="682" ht="16.5" customHeight="1">
      <c r="H682" s="59"/>
    </row>
    <row r="683" ht="16.5" customHeight="1">
      <c r="H683" s="59"/>
    </row>
    <row r="684" ht="16.5" customHeight="1">
      <c r="H684" s="59"/>
    </row>
    <row r="685" ht="16.5" customHeight="1">
      <c r="H685" s="59"/>
    </row>
    <row r="686" ht="16.5" customHeight="1">
      <c r="H686" s="59"/>
    </row>
    <row r="687" ht="16.5" customHeight="1">
      <c r="H687" s="59"/>
    </row>
    <row r="688" ht="16.5" customHeight="1">
      <c r="H688" s="59"/>
    </row>
    <row r="689" ht="16.5" customHeight="1">
      <c r="H689" s="59"/>
    </row>
    <row r="690" ht="16.5" customHeight="1">
      <c r="H690" s="59"/>
    </row>
    <row r="691" ht="16.5" customHeight="1">
      <c r="H691" s="59"/>
    </row>
    <row r="692" ht="16.5" customHeight="1">
      <c r="H692" s="59"/>
    </row>
    <row r="693" ht="16.5" customHeight="1">
      <c r="H693" s="59"/>
    </row>
    <row r="694" ht="16.5" customHeight="1">
      <c r="H694" s="59"/>
    </row>
    <row r="695" ht="16.5" customHeight="1">
      <c r="H695" s="59"/>
    </row>
    <row r="696" ht="16.5" customHeight="1">
      <c r="H696" s="59"/>
    </row>
    <row r="697" ht="16.5" customHeight="1">
      <c r="H697" s="59"/>
    </row>
    <row r="698" ht="16.5" customHeight="1">
      <c r="H698" s="59"/>
    </row>
    <row r="699" ht="16.5" customHeight="1">
      <c r="H699" s="59"/>
    </row>
    <row r="700" ht="16.5" customHeight="1">
      <c r="H700" s="59"/>
    </row>
    <row r="701" ht="16.5" customHeight="1">
      <c r="H701" s="59"/>
    </row>
    <row r="702" ht="16.5" customHeight="1">
      <c r="H702" s="59"/>
    </row>
    <row r="703" ht="16.5" customHeight="1">
      <c r="H703" s="59"/>
    </row>
    <row r="704" ht="16.5" customHeight="1">
      <c r="H704" s="59"/>
    </row>
    <row r="705" ht="16.5" customHeight="1">
      <c r="H705" s="59"/>
    </row>
    <row r="706" ht="16.5" customHeight="1">
      <c r="H706" s="59"/>
    </row>
    <row r="707" ht="16.5" customHeight="1">
      <c r="H707" s="59"/>
    </row>
    <row r="708" ht="16.5" customHeight="1">
      <c r="H708" s="59"/>
    </row>
    <row r="709" ht="16.5" customHeight="1">
      <c r="H709" s="59"/>
    </row>
    <row r="710" ht="16.5" customHeight="1">
      <c r="H710" s="59"/>
    </row>
    <row r="711" ht="16.5" customHeight="1">
      <c r="H711" s="59"/>
    </row>
    <row r="712" ht="16.5" customHeight="1">
      <c r="H712" s="59"/>
    </row>
    <row r="713" ht="16.5" customHeight="1">
      <c r="H713" s="59"/>
    </row>
    <row r="714" ht="16.5" customHeight="1">
      <c r="H714" s="59"/>
    </row>
    <row r="715" ht="16.5" customHeight="1">
      <c r="H715" s="59"/>
    </row>
    <row r="716" ht="16.5" customHeight="1">
      <c r="H716" s="59"/>
    </row>
    <row r="717" ht="16.5" customHeight="1">
      <c r="H717" s="59"/>
    </row>
    <row r="718" ht="16.5" customHeight="1">
      <c r="H718" s="59"/>
    </row>
    <row r="719" ht="16.5" customHeight="1">
      <c r="H719" s="59"/>
    </row>
    <row r="720" ht="16.5" customHeight="1">
      <c r="H720" s="59"/>
    </row>
    <row r="721" ht="16.5" customHeight="1">
      <c r="H721" s="59"/>
    </row>
    <row r="722" ht="16.5" customHeight="1">
      <c r="H722" s="59"/>
    </row>
    <row r="723" ht="16.5" customHeight="1">
      <c r="H723" s="59"/>
    </row>
    <row r="724" ht="16.5" customHeight="1">
      <c r="H724" s="59"/>
    </row>
    <row r="725" ht="16.5" customHeight="1">
      <c r="H725" s="59"/>
    </row>
    <row r="726" ht="16.5" customHeight="1">
      <c r="H726" s="59"/>
    </row>
    <row r="727" ht="16.5" customHeight="1">
      <c r="H727" s="59"/>
    </row>
    <row r="728" ht="16.5" customHeight="1">
      <c r="H728" s="59"/>
    </row>
    <row r="729" ht="16.5" customHeight="1">
      <c r="H729" s="59"/>
    </row>
    <row r="730" ht="16.5" customHeight="1">
      <c r="H730" s="59"/>
    </row>
    <row r="731" ht="16.5" customHeight="1">
      <c r="H731" s="59"/>
    </row>
    <row r="732" ht="16.5" customHeight="1">
      <c r="H732" s="59"/>
    </row>
    <row r="733" ht="16.5" customHeight="1">
      <c r="H733" s="59"/>
    </row>
    <row r="734" ht="16.5" customHeight="1">
      <c r="H734" s="59"/>
    </row>
    <row r="735" ht="16.5" customHeight="1">
      <c r="H735" s="59"/>
    </row>
    <row r="736" ht="16.5" customHeight="1">
      <c r="H736" s="59"/>
    </row>
    <row r="737" ht="16.5" customHeight="1">
      <c r="H737" s="59"/>
    </row>
    <row r="738" ht="16.5" customHeight="1">
      <c r="H738" s="59"/>
    </row>
    <row r="739" ht="16.5" customHeight="1">
      <c r="H739" s="59"/>
    </row>
    <row r="740" ht="16.5" customHeight="1">
      <c r="H740" s="59"/>
    </row>
    <row r="741" ht="16.5" customHeight="1">
      <c r="H741" s="59"/>
    </row>
    <row r="742" ht="16.5" customHeight="1">
      <c r="H742" s="59"/>
    </row>
    <row r="743" ht="16.5" customHeight="1">
      <c r="H743" s="59"/>
    </row>
    <row r="744" ht="16.5" customHeight="1">
      <c r="H744" s="59"/>
    </row>
    <row r="745" ht="16.5" customHeight="1">
      <c r="H745" s="59"/>
    </row>
    <row r="746" ht="16.5" customHeight="1">
      <c r="H746" s="59"/>
    </row>
    <row r="747" ht="16.5" customHeight="1">
      <c r="H747" s="59"/>
    </row>
    <row r="748" ht="16.5" customHeight="1">
      <c r="H748" s="59"/>
    </row>
    <row r="749" ht="16.5" customHeight="1">
      <c r="H749" s="59"/>
    </row>
    <row r="750" ht="16.5" customHeight="1">
      <c r="H750" s="59"/>
    </row>
    <row r="751" ht="16.5" customHeight="1">
      <c r="H751" s="59"/>
    </row>
    <row r="752" ht="16.5" customHeight="1">
      <c r="H752" s="59"/>
    </row>
    <row r="753" ht="16.5" customHeight="1">
      <c r="H753" s="59"/>
    </row>
    <row r="754" ht="16.5" customHeight="1">
      <c r="H754" s="59"/>
    </row>
    <row r="755" ht="16.5" customHeight="1">
      <c r="H755" s="59"/>
    </row>
    <row r="756" ht="16.5" customHeight="1">
      <c r="H756" s="59"/>
    </row>
    <row r="757" ht="16.5" customHeight="1">
      <c r="H757" s="59"/>
    </row>
    <row r="758" ht="16.5" customHeight="1">
      <c r="H758" s="59"/>
    </row>
    <row r="759" ht="16.5" customHeight="1">
      <c r="H759" s="59"/>
    </row>
    <row r="760" ht="16.5" customHeight="1">
      <c r="H760" s="59"/>
    </row>
    <row r="761" ht="16.5" customHeight="1">
      <c r="H761" s="59"/>
    </row>
    <row r="762" ht="16.5" customHeight="1">
      <c r="H762" s="59"/>
    </row>
    <row r="763" ht="16.5" customHeight="1">
      <c r="H763" s="59"/>
    </row>
    <row r="764" ht="16.5" customHeight="1">
      <c r="H764" s="59"/>
    </row>
    <row r="765" ht="16.5" customHeight="1">
      <c r="H765" s="59"/>
    </row>
    <row r="766" ht="16.5" customHeight="1">
      <c r="H766" s="59"/>
    </row>
    <row r="767" ht="16.5" customHeight="1">
      <c r="H767" s="59"/>
    </row>
    <row r="768" ht="16.5" customHeight="1">
      <c r="H768" s="59"/>
    </row>
    <row r="769" ht="16.5" customHeight="1">
      <c r="H769" s="59"/>
    </row>
    <row r="770" ht="16.5" customHeight="1">
      <c r="H770" s="59"/>
    </row>
    <row r="771" ht="16.5" customHeight="1">
      <c r="H771" s="59"/>
    </row>
    <row r="772" ht="16.5" customHeight="1">
      <c r="H772" s="59"/>
    </row>
    <row r="773" ht="16.5" customHeight="1">
      <c r="H773" s="59"/>
    </row>
    <row r="774" ht="16.5" customHeight="1">
      <c r="H774" s="59"/>
    </row>
    <row r="775" ht="16.5" customHeight="1">
      <c r="H775" s="59"/>
    </row>
    <row r="776" ht="16.5" customHeight="1">
      <c r="H776" s="59"/>
    </row>
    <row r="777" ht="16.5" customHeight="1">
      <c r="H777" s="59"/>
    </row>
    <row r="778" ht="16.5" customHeight="1">
      <c r="H778" s="59"/>
    </row>
    <row r="779" ht="16.5" customHeight="1">
      <c r="H779" s="59"/>
    </row>
    <row r="780" ht="16.5" customHeight="1">
      <c r="H780" s="59"/>
    </row>
    <row r="781" ht="16.5" customHeight="1">
      <c r="H781" s="59"/>
    </row>
    <row r="782" ht="16.5" customHeight="1">
      <c r="H782" s="59"/>
    </row>
    <row r="783" ht="16.5" customHeight="1">
      <c r="H783" s="59"/>
    </row>
    <row r="784" ht="16.5" customHeight="1">
      <c r="H784" s="59"/>
    </row>
    <row r="785" ht="16.5" customHeight="1">
      <c r="H785" s="59"/>
    </row>
    <row r="786" ht="16.5" customHeight="1">
      <c r="H786" s="59"/>
    </row>
    <row r="787" ht="16.5" customHeight="1">
      <c r="H787" s="59"/>
    </row>
    <row r="788" ht="16.5" customHeight="1">
      <c r="H788" s="59"/>
    </row>
    <row r="789" ht="16.5" customHeight="1">
      <c r="H789" s="59"/>
    </row>
    <row r="790" ht="16.5" customHeight="1">
      <c r="H790" s="59"/>
    </row>
    <row r="791" ht="16.5" customHeight="1">
      <c r="H791" s="59"/>
    </row>
    <row r="792" ht="16.5" customHeight="1">
      <c r="H792" s="59"/>
    </row>
    <row r="793" ht="16.5" customHeight="1">
      <c r="H793" s="59"/>
    </row>
    <row r="794" ht="16.5" customHeight="1">
      <c r="H794" s="59"/>
    </row>
    <row r="795" ht="16.5" customHeight="1">
      <c r="H795" s="59"/>
    </row>
    <row r="796" ht="16.5" customHeight="1">
      <c r="H796" s="59"/>
    </row>
    <row r="797" ht="16.5" customHeight="1">
      <c r="H797" s="59"/>
    </row>
    <row r="798" ht="16.5" customHeight="1">
      <c r="H798" s="59"/>
    </row>
    <row r="799" ht="16.5" customHeight="1">
      <c r="H799" s="59"/>
    </row>
    <row r="800" ht="16.5" customHeight="1">
      <c r="H800" s="59"/>
    </row>
    <row r="801" ht="16.5" customHeight="1">
      <c r="H801" s="59"/>
    </row>
    <row r="802" ht="16.5" customHeight="1">
      <c r="H802" s="59"/>
    </row>
    <row r="803" ht="16.5" customHeight="1">
      <c r="H803" s="59"/>
    </row>
    <row r="804" ht="16.5" customHeight="1">
      <c r="H804" s="59"/>
    </row>
    <row r="805" ht="16.5" customHeight="1">
      <c r="H805" s="59"/>
    </row>
    <row r="806" ht="16.5" customHeight="1">
      <c r="H806" s="59"/>
    </row>
    <row r="807" ht="16.5" customHeight="1">
      <c r="H807" s="59"/>
    </row>
    <row r="808" ht="16.5" customHeight="1">
      <c r="H808" s="59"/>
    </row>
    <row r="809" ht="16.5" customHeight="1">
      <c r="H809" s="59"/>
    </row>
    <row r="810" ht="16.5" customHeight="1">
      <c r="H810" s="59"/>
    </row>
    <row r="811" ht="16.5" customHeight="1">
      <c r="H811" s="59"/>
    </row>
    <row r="812" ht="16.5" customHeight="1">
      <c r="H812" s="59"/>
    </row>
    <row r="813" ht="16.5" customHeight="1">
      <c r="H813" s="59"/>
    </row>
    <row r="814" ht="16.5" customHeight="1">
      <c r="H814" s="59"/>
    </row>
    <row r="815" ht="16.5" customHeight="1">
      <c r="H815" s="59"/>
    </row>
    <row r="816" ht="16.5" customHeight="1">
      <c r="H816" s="59"/>
    </row>
    <row r="817" ht="16.5" customHeight="1">
      <c r="H817" s="59"/>
    </row>
    <row r="818" ht="16.5" customHeight="1">
      <c r="H818" s="59"/>
    </row>
    <row r="819" ht="16.5" customHeight="1">
      <c r="H819" s="59"/>
    </row>
    <row r="820" ht="16.5" customHeight="1">
      <c r="H820" s="59"/>
    </row>
    <row r="821" ht="16.5" customHeight="1">
      <c r="H821" s="59"/>
    </row>
    <row r="822" ht="16.5" customHeight="1">
      <c r="H822" s="59"/>
    </row>
    <row r="823" ht="16.5" customHeight="1">
      <c r="H823" s="59"/>
    </row>
    <row r="824" ht="16.5" customHeight="1">
      <c r="H824" s="59"/>
    </row>
    <row r="825" ht="16.5" customHeight="1">
      <c r="H825" s="59"/>
    </row>
    <row r="826" ht="16.5" customHeight="1">
      <c r="H826" s="59"/>
    </row>
    <row r="827" ht="16.5" customHeight="1">
      <c r="H827" s="59"/>
    </row>
    <row r="828" ht="16.5" customHeight="1">
      <c r="H828" s="59"/>
    </row>
    <row r="829" ht="16.5" customHeight="1">
      <c r="H829" s="59"/>
    </row>
    <row r="830" ht="16.5" customHeight="1">
      <c r="H830" s="59"/>
    </row>
    <row r="831" ht="16.5" customHeight="1">
      <c r="H831" s="59"/>
    </row>
    <row r="832" ht="16.5" customHeight="1">
      <c r="H832" s="59"/>
    </row>
    <row r="833" ht="16.5" customHeight="1">
      <c r="H833" s="59"/>
    </row>
    <row r="834" ht="16.5" customHeight="1">
      <c r="H834" s="59"/>
    </row>
    <row r="835" ht="16.5" customHeight="1">
      <c r="H835" s="59"/>
    </row>
    <row r="836" ht="16.5" customHeight="1">
      <c r="H836" s="59"/>
    </row>
    <row r="837" ht="16.5" customHeight="1">
      <c r="H837" s="59"/>
    </row>
    <row r="838" ht="16.5" customHeight="1">
      <c r="H838" s="59"/>
    </row>
    <row r="839" ht="16.5" customHeight="1">
      <c r="H839" s="59"/>
    </row>
    <row r="840" ht="16.5" customHeight="1">
      <c r="H840" s="59"/>
    </row>
    <row r="841" ht="16.5" customHeight="1">
      <c r="H841" s="59"/>
    </row>
    <row r="842" ht="16.5" customHeight="1">
      <c r="H842" s="59"/>
    </row>
    <row r="843" ht="16.5" customHeight="1">
      <c r="H843" s="59"/>
    </row>
    <row r="844" ht="16.5" customHeight="1">
      <c r="H844" s="59"/>
    </row>
    <row r="845" ht="16.5" customHeight="1">
      <c r="H845" s="59"/>
    </row>
    <row r="846" ht="16.5" customHeight="1">
      <c r="H846" s="59"/>
    </row>
    <row r="847" ht="16.5" customHeight="1">
      <c r="H847" s="59"/>
    </row>
    <row r="848" ht="16.5" customHeight="1">
      <c r="H848" s="59"/>
    </row>
    <row r="849" ht="16.5" customHeight="1">
      <c r="H849" s="59"/>
    </row>
    <row r="850" ht="16.5" customHeight="1">
      <c r="H850" s="59"/>
    </row>
    <row r="851" ht="16.5" customHeight="1">
      <c r="H851" s="59"/>
    </row>
    <row r="852" ht="16.5" customHeight="1">
      <c r="H852" s="59"/>
    </row>
    <row r="853" ht="16.5" customHeight="1">
      <c r="H853" s="59"/>
    </row>
    <row r="854" ht="16.5" customHeight="1">
      <c r="H854" s="59"/>
    </row>
    <row r="855" ht="16.5" customHeight="1">
      <c r="H855" s="59"/>
    </row>
    <row r="856" ht="16.5" customHeight="1">
      <c r="H856" s="59"/>
    </row>
    <row r="857" ht="16.5" customHeight="1">
      <c r="H857" s="59"/>
    </row>
    <row r="858" ht="16.5" customHeight="1">
      <c r="H858" s="59"/>
    </row>
    <row r="859" ht="16.5" customHeight="1">
      <c r="H859" s="59"/>
    </row>
    <row r="860" ht="16.5" customHeight="1">
      <c r="H860" s="59"/>
    </row>
    <row r="861" ht="16.5" customHeight="1">
      <c r="H861" s="59"/>
    </row>
    <row r="862" ht="16.5" customHeight="1">
      <c r="H862" s="59"/>
    </row>
    <row r="863" ht="16.5" customHeight="1">
      <c r="H863" s="59"/>
    </row>
    <row r="864" ht="16.5" customHeight="1">
      <c r="H864" s="59"/>
    </row>
    <row r="865" ht="16.5" customHeight="1">
      <c r="H865" s="59"/>
    </row>
    <row r="866" ht="16.5" customHeight="1">
      <c r="H866" s="59"/>
    </row>
    <row r="867" ht="16.5" customHeight="1">
      <c r="H867" s="59"/>
    </row>
    <row r="868" ht="16.5" customHeight="1">
      <c r="H868" s="59"/>
    </row>
    <row r="869" ht="16.5" customHeight="1">
      <c r="H869" s="59"/>
    </row>
    <row r="870" ht="16.5" customHeight="1">
      <c r="H870" s="59"/>
    </row>
    <row r="871" ht="16.5" customHeight="1">
      <c r="H871" s="59"/>
    </row>
    <row r="872" ht="16.5" customHeight="1">
      <c r="H872" s="59"/>
    </row>
    <row r="873" ht="16.5" customHeight="1">
      <c r="H873" s="59"/>
    </row>
    <row r="874" ht="16.5" customHeight="1">
      <c r="H874" s="59"/>
    </row>
    <row r="875" ht="16.5" customHeight="1">
      <c r="H875" s="59"/>
    </row>
    <row r="876" ht="16.5" customHeight="1">
      <c r="H876" s="59"/>
    </row>
    <row r="877" ht="16.5" customHeight="1">
      <c r="H877" s="59"/>
    </row>
    <row r="878" ht="16.5" customHeight="1">
      <c r="H878" s="59"/>
    </row>
    <row r="879" ht="16.5" customHeight="1">
      <c r="H879" s="59"/>
    </row>
    <row r="880" ht="16.5" customHeight="1">
      <c r="H880" s="59"/>
    </row>
    <row r="881" ht="16.5" customHeight="1">
      <c r="H881" s="59"/>
    </row>
    <row r="882" ht="16.5" customHeight="1">
      <c r="H882" s="59"/>
    </row>
    <row r="883" ht="16.5" customHeight="1">
      <c r="H883" s="59"/>
    </row>
    <row r="884" ht="16.5" customHeight="1">
      <c r="H884" s="59"/>
    </row>
    <row r="885" ht="16.5" customHeight="1">
      <c r="H885" s="59"/>
    </row>
    <row r="886" ht="16.5" customHeight="1">
      <c r="H886" s="59"/>
    </row>
    <row r="887" ht="16.5" customHeight="1">
      <c r="H887" s="59"/>
    </row>
    <row r="888" ht="16.5" customHeight="1">
      <c r="H888" s="59"/>
    </row>
    <row r="889" ht="16.5" customHeight="1">
      <c r="H889" s="59"/>
    </row>
    <row r="890" ht="16.5" customHeight="1">
      <c r="H890" s="59"/>
    </row>
    <row r="891" ht="16.5" customHeight="1">
      <c r="H891" s="59"/>
    </row>
    <row r="892" ht="16.5" customHeight="1">
      <c r="H892" s="59"/>
    </row>
    <row r="893" ht="16.5" customHeight="1">
      <c r="H893" s="59"/>
    </row>
    <row r="894" ht="16.5" customHeight="1">
      <c r="H894" s="59"/>
    </row>
    <row r="895" ht="16.5" customHeight="1">
      <c r="H895" s="59"/>
    </row>
    <row r="896" ht="16.5" customHeight="1">
      <c r="H896" s="59"/>
    </row>
    <row r="897" ht="16.5" customHeight="1">
      <c r="H897" s="59"/>
    </row>
    <row r="898" ht="16.5" customHeight="1">
      <c r="H898" s="59"/>
    </row>
    <row r="899" ht="16.5" customHeight="1">
      <c r="H899" s="59"/>
    </row>
    <row r="900" ht="16.5" customHeight="1">
      <c r="H900" s="59"/>
    </row>
    <row r="901" ht="16.5" customHeight="1">
      <c r="H901" s="59"/>
    </row>
    <row r="902" ht="16.5" customHeight="1">
      <c r="H902" s="59"/>
    </row>
    <row r="903" ht="16.5" customHeight="1">
      <c r="H903" s="59"/>
    </row>
    <row r="904" ht="16.5" customHeight="1">
      <c r="H904" s="59"/>
    </row>
    <row r="905" ht="16.5" customHeight="1">
      <c r="H905" s="59"/>
    </row>
    <row r="906" ht="16.5" customHeight="1">
      <c r="H906" s="59"/>
    </row>
    <row r="907" ht="16.5" customHeight="1">
      <c r="H907" s="59"/>
    </row>
    <row r="908" ht="16.5" customHeight="1">
      <c r="H908" s="59"/>
    </row>
    <row r="909" ht="16.5" customHeight="1">
      <c r="H909" s="59"/>
    </row>
    <row r="910" ht="16.5" customHeight="1">
      <c r="H910" s="59"/>
    </row>
    <row r="911" ht="16.5" customHeight="1">
      <c r="H911" s="59"/>
    </row>
    <row r="912" ht="16.5" customHeight="1">
      <c r="H912" s="59"/>
    </row>
    <row r="913" ht="16.5" customHeight="1">
      <c r="H913" s="59"/>
    </row>
    <row r="914" ht="16.5" customHeight="1">
      <c r="H914" s="59"/>
    </row>
    <row r="915" ht="16.5" customHeight="1">
      <c r="H915" s="59"/>
    </row>
    <row r="916" ht="16.5" customHeight="1">
      <c r="H916" s="59"/>
    </row>
    <row r="917" ht="16.5" customHeight="1">
      <c r="H917" s="59"/>
    </row>
    <row r="918" ht="16.5" customHeight="1">
      <c r="H918" s="59"/>
    </row>
    <row r="919" ht="16.5" customHeight="1">
      <c r="H919" s="59"/>
    </row>
    <row r="920" ht="16.5" customHeight="1">
      <c r="H920" s="59"/>
    </row>
    <row r="921" ht="16.5" customHeight="1">
      <c r="H921" s="59"/>
    </row>
    <row r="922" ht="16.5" customHeight="1">
      <c r="H922" s="59"/>
    </row>
    <row r="923" ht="16.5" customHeight="1">
      <c r="H923" s="59"/>
    </row>
    <row r="924" ht="16.5" customHeight="1">
      <c r="H924" s="59"/>
    </row>
    <row r="925" ht="16.5" customHeight="1">
      <c r="H925" s="59"/>
    </row>
    <row r="926" ht="16.5" customHeight="1">
      <c r="H926" s="59"/>
    </row>
    <row r="927" ht="16.5" customHeight="1">
      <c r="H927" s="59"/>
    </row>
    <row r="928" ht="16.5" customHeight="1">
      <c r="H928" s="59"/>
    </row>
    <row r="929" ht="16.5" customHeight="1">
      <c r="H929" s="59"/>
    </row>
    <row r="930" ht="16.5" customHeight="1">
      <c r="H930" s="59"/>
    </row>
    <row r="931" ht="16.5" customHeight="1">
      <c r="H931" s="59"/>
    </row>
    <row r="932" ht="16.5" customHeight="1">
      <c r="H932" s="59"/>
    </row>
    <row r="933" ht="16.5" customHeight="1">
      <c r="H933" s="59"/>
    </row>
    <row r="934" ht="16.5" customHeight="1">
      <c r="H934" s="59"/>
    </row>
    <row r="935" ht="16.5" customHeight="1">
      <c r="H935" s="59"/>
    </row>
    <row r="936" ht="16.5" customHeight="1">
      <c r="H936" s="59"/>
    </row>
    <row r="937" ht="16.5" customHeight="1">
      <c r="H937" s="59"/>
    </row>
    <row r="938" ht="16.5" customHeight="1">
      <c r="H938" s="59"/>
    </row>
    <row r="939" ht="16.5" customHeight="1">
      <c r="H939" s="59"/>
    </row>
    <row r="940" ht="16.5" customHeight="1">
      <c r="H940" s="59"/>
    </row>
    <row r="941" ht="16.5" customHeight="1">
      <c r="H941" s="59"/>
    </row>
    <row r="942" ht="16.5" customHeight="1">
      <c r="H942" s="59"/>
    </row>
    <row r="943" ht="16.5" customHeight="1">
      <c r="H943" s="59"/>
    </row>
    <row r="944" ht="16.5" customHeight="1">
      <c r="H944" s="59"/>
    </row>
    <row r="945" ht="16.5" customHeight="1">
      <c r="H945" s="59"/>
    </row>
    <row r="946" ht="16.5" customHeight="1">
      <c r="H946" s="59"/>
    </row>
    <row r="947" ht="16.5" customHeight="1">
      <c r="H947" s="59"/>
    </row>
    <row r="948" ht="16.5" customHeight="1">
      <c r="H948" s="59"/>
    </row>
    <row r="949" ht="16.5" customHeight="1">
      <c r="H949" s="59"/>
    </row>
    <row r="950" ht="16.5" customHeight="1">
      <c r="H950" s="59"/>
    </row>
    <row r="951" ht="16.5" customHeight="1">
      <c r="H951" s="59"/>
    </row>
    <row r="952" ht="16.5" customHeight="1">
      <c r="H952" s="59"/>
    </row>
    <row r="953" ht="16.5" customHeight="1">
      <c r="H953" s="59"/>
    </row>
    <row r="954" ht="16.5" customHeight="1">
      <c r="H954" s="59"/>
    </row>
    <row r="955" ht="16.5" customHeight="1">
      <c r="H955" s="59"/>
    </row>
    <row r="956" ht="16.5" customHeight="1">
      <c r="H956" s="59"/>
    </row>
    <row r="957" ht="16.5" customHeight="1">
      <c r="H957" s="59"/>
    </row>
    <row r="958" ht="16.5" customHeight="1">
      <c r="H958" s="59"/>
    </row>
    <row r="959" ht="16.5" customHeight="1">
      <c r="H959" s="59"/>
    </row>
    <row r="960" ht="16.5" customHeight="1">
      <c r="H960" s="59"/>
    </row>
    <row r="961" ht="16.5" customHeight="1">
      <c r="H961" s="59"/>
    </row>
    <row r="962" ht="16.5" customHeight="1">
      <c r="H962" s="59"/>
    </row>
    <row r="963" ht="16.5" customHeight="1">
      <c r="H963" s="59"/>
    </row>
    <row r="964" ht="16.5" customHeight="1">
      <c r="H964" s="59"/>
    </row>
    <row r="965" ht="16.5" customHeight="1">
      <c r="H965" s="59"/>
    </row>
    <row r="966" ht="16.5" customHeight="1">
      <c r="H966" s="59"/>
    </row>
    <row r="967" ht="16.5" customHeight="1">
      <c r="H967" s="59"/>
    </row>
    <row r="968" ht="16.5" customHeight="1">
      <c r="H968" s="59"/>
    </row>
    <row r="969" ht="16.5" customHeight="1">
      <c r="H969" s="59"/>
    </row>
    <row r="970" ht="16.5" customHeight="1">
      <c r="H970" s="59"/>
    </row>
    <row r="971" ht="16.5" customHeight="1">
      <c r="H971" s="59"/>
    </row>
    <row r="972" ht="16.5" customHeight="1">
      <c r="H972" s="59"/>
    </row>
    <row r="973" ht="16.5" customHeight="1">
      <c r="H973" s="59"/>
    </row>
    <row r="974" ht="16.5" customHeight="1">
      <c r="H974" s="59"/>
    </row>
    <row r="975" ht="16.5" customHeight="1">
      <c r="H975" s="59"/>
    </row>
    <row r="976" ht="16.5" customHeight="1">
      <c r="H976" s="59"/>
    </row>
    <row r="977" ht="16.5" customHeight="1">
      <c r="H977" s="59"/>
    </row>
    <row r="978" ht="16.5" customHeight="1">
      <c r="H978" s="59"/>
    </row>
    <row r="979" ht="16.5" customHeight="1">
      <c r="H979" s="59"/>
    </row>
    <row r="980" ht="16.5" customHeight="1">
      <c r="H980" s="59"/>
    </row>
    <row r="981" ht="16.5" customHeight="1">
      <c r="H981" s="59"/>
    </row>
    <row r="982" ht="16.5" customHeight="1">
      <c r="H982" s="59"/>
    </row>
    <row r="983" ht="16.5" customHeight="1">
      <c r="H983" s="59"/>
    </row>
    <row r="984" ht="16.5" customHeight="1">
      <c r="H984" s="59"/>
    </row>
    <row r="985" ht="16.5" customHeight="1">
      <c r="H985" s="59"/>
    </row>
    <row r="986" ht="16.5" customHeight="1">
      <c r="H986" s="59"/>
    </row>
    <row r="987" ht="16.5" customHeight="1">
      <c r="H987" s="59"/>
    </row>
    <row r="988" ht="16.5" customHeight="1">
      <c r="H988" s="59"/>
    </row>
    <row r="989" ht="16.5" customHeight="1">
      <c r="H989" s="59"/>
    </row>
    <row r="990" ht="16.5" customHeight="1">
      <c r="H990" s="59"/>
    </row>
    <row r="991" ht="16.5" customHeight="1">
      <c r="H991" s="59"/>
    </row>
    <row r="992" ht="16.5" customHeight="1">
      <c r="H992" s="59"/>
    </row>
    <row r="993" ht="16.5" customHeight="1">
      <c r="H993" s="59"/>
    </row>
    <row r="994" ht="16.5" customHeight="1">
      <c r="H994" s="59"/>
    </row>
    <row r="995" ht="16.5" customHeight="1">
      <c r="H995" s="59"/>
    </row>
    <row r="996" ht="16.5" customHeight="1">
      <c r="H996" s="59"/>
    </row>
    <row r="997" ht="16.5" customHeight="1">
      <c r="H997" s="59"/>
    </row>
    <row r="998" ht="16.5" customHeight="1">
      <c r="H998" s="59"/>
    </row>
    <row r="999" ht="16.5" customHeight="1">
      <c r="H999" s="59"/>
    </row>
    <row r="1000" ht="16.5" customHeight="1">
      <c r="H1000" s="59"/>
    </row>
    <row r="1001" ht="16.5" customHeight="1">
      <c r="H1001" s="59"/>
    </row>
    <row r="1002" ht="16.5" customHeight="1">
      <c r="H1002" s="59"/>
    </row>
    <row r="1003" ht="16.5" customHeight="1">
      <c r="H1003" s="59"/>
    </row>
    <row r="1004" ht="16.5" customHeight="1">
      <c r="H1004" s="59"/>
    </row>
    <row r="1005" ht="16.5" customHeight="1">
      <c r="H1005" s="59"/>
    </row>
    <row r="1006" ht="16.5" customHeight="1">
      <c r="H1006" s="59"/>
    </row>
    <row r="1007" ht="16.5" customHeight="1">
      <c r="H1007" s="59"/>
    </row>
    <row r="1008" ht="16.5" customHeight="1">
      <c r="H1008" s="59"/>
    </row>
    <row r="1009" ht="16.5" customHeight="1">
      <c r="H1009" s="59"/>
    </row>
    <row r="1010" ht="16.5" customHeight="1">
      <c r="H1010" s="59"/>
    </row>
    <row r="1011" ht="16.5" customHeight="1">
      <c r="H1011" s="59"/>
    </row>
    <row r="1012" ht="16.5" customHeight="1">
      <c r="H1012" s="59"/>
    </row>
    <row r="1013" ht="16.5" customHeight="1">
      <c r="H1013" s="59"/>
    </row>
    <row r="1014" ht="16.5" customHeight="1">
      <c r="H1014" s="59"/>
    </row>
    <row r="1015" ht="16.5" customHeight="1">
      <c r="H1015" s="59"/>
    </row>
    <row r="1016" ht="16.5" customHeight="1">
      <c r="H1016" s="59"/>
    </row>
    <row r="1017" ht="16.5" customHeight="1">
      <c r="H1017" s="59"/>
    </row>
    <row r="1018" ht="16.5" customHeight="1">
      <c r="H1018" s="59"/>
    </row>
    <row r="1019" ht="16.5" customHeight="1">
      <c r="H1019" s="59"/>
    </row>
    <row r="1020" ht="16.5" customHeight="1">
      <c r="H1020" s="59"/>
    </row>
    <row r="1021" ht="16.5" customHeight="1">
      <c r="H1021" s="59"/>
    </row>
    <row r="1022" ht="16.5" customHeight="1">
      <c r="H1022" s="59"/>
    </row>
    <row r="1023" ht="16.5" customHeight="1">
      <c r="H1023" s="59"/>
    </row>
    <row r="1024" ht="16.5" customHeight="1">
      <c r="H1024" s="59"/>
    </row>
    <row r="1025" ht="16.5" customHeight="1">
      <c r="H1025" s="59"/>
    </row>
    <row r="1026" ht="16.5" customHeight="1">
      <c r="H1026" s="59"/>
    </row>
    <row r="1027" ht="16.5" customHeight="1">
      <c r="H1027" s="59"/>
    </row>
    <row r="1028" ht="16.5" customHeight="1">
      <c r="H1028" s="59"/>
    </row>
    <row r="1029" ht="16.5" customHeight="1">
      <c r="H1029" s="59"/>
    </row>
    <row r="1030" ht="16.5" customHeight="1">
      <c r="H1030" s="59"/>
    </row>
    <row r="1031" ht="16.5" customHeight="1">
      <c r="H1031" s="59"/>
    </row>
    <row r="1032" ht="16.5" customHeight="1">
      <c r="H1032" s="59"/>
    </row>
    <row r="1033" ht="16.5" customHeight="1">
      <c r="H1033" s="59"/>
    </row>
    <row r="1034" ht="16.5" customHeight="1">
      <c r="H1034" s="59"/>
    </row>
    <row r="1035" ht="16.5" customHeight="1">
      <c r="H1035" s="59"/>
    </row>
    <row r="1036" ht="16.5" customHeight="1">
      <c r="H1036" s="59"/>
    </row>
    <row r="1037" ht="16.5" customHeight="1">
      <c r="H1037" s="59"/>
    </row>
  </sheetData>
  <mergeCells count="2">
    <mergeCell ref="A1:T1"/>
    <mergeCell ref="A2:T2"/>
  </mergeCells>
  <conditionalFormatting sqref="V5:V59">
    <cfRule type="notContainsBlanks" dxfId="0" priority="1">
      <formula>LEN(TRIM(V5))&gt;0</formula>
    </cfRule>
  </conditionalFormatting>
  <dataValidations>
    <dataValidation type="list" allowBlank="1" sqref="P5:P81">
      <formula1>"Students only,Faculty only,Students and Faculty,Researchers only,Whole community"</formula1>
    </dataValidation>
    <dataValidation type="list" allowBlank="1" sqref="J5:J81">
      <formula1>"Prohibitive,Cautious,Encouraging,Functional,Not Specified"</formula1>
    </dataValidation>
    <dataValidation type="list" allowBlank="1" sqref="B5:B81">
      <formula1>"National/Federal,City/Territory,Institutional,Faculty/Department,Course-wide"</formula1>
    </dataValidation>
    <dataValidation type="list" allowBlank="1" sqref="K5:K81">
      <formula1>"Required,Recommended,Not specified,Conditional"</formula1>
    </dataValidation>
    <dataValidation type="list" allowBlank="1" sqref="L5:L81">
      <formula1>"Instructor decides,Faculty/Dept decides,Gov-mandated,Institution-mandated,Hybrid,Not specified"</formula1>
    </dataValidation>
    <dataValidation type="list" allowBlank="1" sqref="G5:G81">
      <formula1>"Law/Regulation,Executive Order,Official Guidance,University Policy,Library Guide,Syllabus,FAQ/Resource Page,Syllabus Library,Other"</formula1>
    </dataValidation>
    <dataValidation type="list" allowBlank="1" sqref="M5:N81">
      <formula1>"Academic Integrity,AI Literacy,Privacy/Data/Ethics,Equity,Pedagogy/Learning,Professional Readiness,Not specified"</formula1>
    </dataValidation>
    <dataValidation type="list" allowBlank="1" sqref="O5:O81">
      <formula1>"Explicit penalties,Referenced to integrity code,Guidance only,None stated"</formula1>
    </dataValidation>
    <dataValidation type="list" allowBlank="1" sqref="C5:C81">
      <formula1>"NYC,Hong Kong"</formula1>
    </dataValidation>
  </dataValidations>
  <hyperlinks>
    <hyperlink r:id="rId1" ref="I5"/>
    <hyperlink r:id="rId2" ref="I6"/>
    <hyperlink r:id="rId3" ref="I7"/>
    <hyperlink r:id="rId4" ref="I8"/>
    <hyperlink r:id="rId5" ref="I9"/>
    <hyperlink r:id="rId6" ref="I10"/>
    <hyperlink r:id="rId7" ref="I11"/>
    <hyperlink r:id="rId8" ref="I12"/>
    <hyperlink r:id="rId9" ref="I13"/>
    <hyperlink r:id="rId10" ref="I14"/>
    <hyperlink r:id="rId11" ref="I15"/>
    <hyperlink r:id="rId12" ref="I16"/>
    <hyperlink r:id="rId13" ref="I17"/>
    <hyperlink r:id="rId14" ref="I18"/>
    <hyperlink r:id="rId15" ref="I19"/>
    <hyperlink r:id="rId16" ref="I20"/>
    <hyperlink r:id="rId17" ref="I21"/>
    <hyperlink r:id="rId18" ref="I22"/>
    <hyperlink r:id="rId19" ref="I23"/>
    <hyperlink r:id="rId20" location="1743443301057-e01b194c-474d" ref="I24"/>
    <hyperlink r:id="rId21" ref="I25"/>
    <hyperlink r:id="rId22" ref="I26"/>
    <hyperlink r:id="rId23" ref="I27"/>
    <hyperlink r:id="rId24" ref="I28"/>
    <hyperlink r:id="rId25" ref="I29"/>
    <hyperlink r:id="rId26" ref="I30"/>
    <hyperlink r:id="rId27" ref="I31"/>
    <hyperlink r:id="rId28" ref="I32"/>
    <hyperlink r:id="rId29" ref="I33"/>
    <hyperlink r:id="rId30" ref="I34"/>
    <hyperlink r:id="rId31" ref="I35"/>
    <hyperlink r:id="rId32" ref="I36"/>
    <hyperlink r:id="rId33" ref="I37"/>
    <hyperlink r:id="rId34" ref="I38"/>
    <hyperlink r:id="rId35" ref="I39"/>
    <hyperlink r:id="rId36" ref="I40"/>
    <hyperlink r:id="rId37" ref="I41"/>
    <hyperlink r:id="rId38" ref="I42"/>
    <hyperlink r:id="rId39" ref="I43"/>
    <hyperlink r:id="rId40" ref="I44"/>
    <hyperlink r:id="rId41" ref="I45"/>
    <hyperlink r:id="rId42" ref="I46"/>
    <hyperlink r:id="rId43" ref="I47"/>
    <hyperlink r:id="rId44" ref="I48"/>
    <hyperlink r:id="rId45" ref="I49"/>
    <hyperlink r:id="rId46" ref="I50"/>
    <hyperlink r:id="rId47" ref="I51"/>
    <hyperlink r:id="rId48" ref="I52"/>
    <hyperlink r:id="rId49" ref="I53"/>
    <hyperlink r:id="rId50" ref="I54"/>
    <hyperlink r:id="rId51" ref="I55"/>
    <hyperlink r:id="rId52" ref="I56"/>
    <hyperlink r:id="rId53" ref="I57"/>
    <hyperlink r:id="rId54" ref="I58"/>
    <hyperlink r:id="rId55" ref="I59"/>
  </hyperlinks>
  <printOptions/>
  <pageMargins bottom="1.0" footer="0.0" header="0.0" left="0.75" right="0.75" top="1.0"/>
  <pageSetup paperSize="9" orientation="portrait"/>
  <drawing r:id="rId5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2.0"/>
    <col customWidth="1" min="2" max="2" width="20.57"/>
    <col customWidth="1" min="3" max="3" width="13.57"/>
    <col customWidth="1" min="4" max="4" width="24.0"/>
    <col customWidth="1" min="5" max="5" width="11.29"/>
    <col customWidth="1" min="6" max="6" width="32.0"/>
    <col customWidth="1" min="7" max="7" width="18.0"/>
    <col customWidth="1" min="8" max="8" width="13.0"/>
    <col customWidth="1" min="9" max="9" width="28.0"/>
    <col customWidth="1" min="10" max="10" width="14.0"/>
    <col customWidth="1" min="11" max="11" width="15.0"/>
    <col customWidth="1" min="12" max="12" width="20.0"/>
    <col customWidth="1" min="13" max="14" width="18.0"/>
    <col customWidth="1" min="15" max="15" width="22.0"/>
    <col customWidth="1" min="16" max="16" width="20.0"/>
    <col customWidth="1" min="17" max="17" width="45.0"/>
    <col customWidth="1" min="18" max="18" width="28.0"/>
    <col customWidth="1" min="19" max="19" width="12.0"/>
    <col customWidth="1" min="20" max="20" width="13.0"/>
    <col customWidth="1" min="21" max="21" width="19.0"/>
    <col customWidth="1" min="22" max="27" width="8.71"/>
  </cols>
  <sheetData>
    <row r="1" ht="16.5" customHeight="1">
      <c r="A1" s="1" t="s">
        <v>468</v>
      </c>
      <c r="B1" s="1"/>
      <c r="C1" s="1"/>
      <c r="D1" s="1"/>
      <c r="E1" s="1"/>
      <c r="F1" s="1"/>
      <c r="G1" s="1"/>
      <c r="H1" s="1"/>
      <c r="I1" s="1"/>
      <c r="J1" s="1"/>
      <c r="K1" s="1"/>
      <c r="L1" s="1"/>
      <c r="M1" s="1"/>
      <c r="N1" s="1"/>
      <c r="O1" s="1"/>
      <c r="P1" s="1"/>
      <c r="Q1" s="1"/>
      <c r="R1" s="1"/>
      <c r="S1" s="1"/>
      <c r="T1" s="1"/>
    </row>
    <row r="2" ht="16.5" customHeight="1">
      <c r="A2" s="2" t="s">
        <v>469</v>
      </c>
      <c r="B2" s="2"/>
      <c r="C2" s="2"/>
      <c r="D2" s="2"/>
      <c r="E2" s="2"/>
      <c r="F2" s="2"/>
      <c r="G2" s="2"/>
      <c r="H2" s="2"/>
      <c r="I2" s="2"/>
      <c r="J2" s="2"/>
      <c r="K2" s="2"/>
      <c r="L2" s="2"/>
      <c r="M2" s="2"/>
      <c r="N2" s="2"/>
      <c r="O2" s="2"/>
      <c r="P2" s="2"/>
      <c r="Q2" s="2"/>
      <c r="R2" s="2"/>
      <c r="S2" s="2"/>
      <c r="T2" s="2"/>
    </row>
    <row r="3" ht="16.5" customHeight="1"/>
    <row r="4" ht="37.5" customHeight="1">
      <c r="A4" s="7" t="s">
        <v>1</v>
      </c>
      <c r="B4" s="7" t="s">
        <v>2</v>
      </c>
      <c r="C4" s="7" t="s">
        <v>3</v>
      </c>
      <c r="D4" s="7" t="s">
        <v>4</v>
      </c>
      <c r="E4" s="7" t="s">
        <v>5</v>
      </c>
      <c r="F4" s="7" t="s">
        <v>6</v>
      </c>
      <c r="G4" s="7" t="s">
        <v>7</v>
      </c>
      <c r="H4" s="7" t="s">
        <v>8</v>
      </c>
      <c r="I4" s="7" t="s">
        <v>9</v>
      </c>
      <c r="J4" s="7" t="s">
        <v>10</v>
      </c>
      <c r="K4" s="7" t="s">
        <v>11</v>
      </c>
      <c r="L4" s="7" t="s">
        <v>12</v>
      </c>
      <c r="M4" s="7" t="s">
        <v>13</v>
      </c>
      <c r="N4" s="7" t="s">
        <v>14</v>
      </c>
      <c r="O4" s="7" t="s">
        <v>15</v>
      </c>
      <c r="P4" s="7" t="s">
        <v>16</v>
      </c>
      <c r="Q4" s="7" t="s">
        <v>17</v>
      </c>
      <c r="R4" s="7" t="s">
        <v>18</v>
      </c>
      <c r="S4" s="7" t="s">
        <v>19</v>
      </c>
      <c r="T4" s="7" t="s">
        <v>20</v>
      </c>
      <c r="U4" s="60" t="s">
        <v>21</v>
      </c>
      <c r="V4" s="18" t="s">
        <v>470</v>
      </c>
    </row>
    <row r="5" ht="16.5" customHeight="1">
      <c r="A5" s="10" t="s">
        <v>471</v>
      </c>
      <c r="B5" s="10" t="s">
        <v>23</v>
      </c>
      <c r="C5" s="10" t="s">
        <v>472</v>
      </c>
      <c r="D5" s="10" t="s">
        <v>473</v>
      </c>
      <c r="E5" s="10"/>
      <c r="F5" s="10" t="s">
        <v>474</v>
      </c>
      <c r="G5" s="10" t="s">
        <v>27</v>
      </c>
      <c r="H5" s="10">
        <v>2021.0</v>
      </c>
      <c r="I5" s="12" t="s">
        <v>475</v>
      </c>
      <c r="J5" s="10" t="s">
        <v>42</v>
      </c>
      <c r="K5" s="10" t="s">
        <v>30</v>
      </c>
      <c r="L5" s="10" t="s">
        <v>30</v>
      </c>
      <c r="M5" s="10" t="s">
        <v>33</v>
      </c>
      <c r="N5" s="10"/>
      <c r="O5" s="10" t="s">
        <v>300</v>
      </c>
      <c r="P5" s="10" t="s">
        <v>35</v>
      </c>
      <c r="Q5" s="10" t="s">
        <v>476</v>
      </c>
      <c r="R5" s="10" t="s">
        <v>477</v>
      </c>
      <c r="S5" s="10" t="s">
        <v>182</v>
      </c>
      <c r="T5" s="61">
        <v>46138.0</v>
      </c>
      <c r="U5" s="62" t="s">
        <v>219</v>
      </c>
      <c r="V5" s="62"/>
      <c r="W5" s="62"/>
      <c r="X5" s="62"/>
      <c r="Y5" s="62"/>
      <c r="Z5" s="62"/>
      <c r="AA5" s="62"/>
    </row>
    <row r="6" ht="16.5" customHeight="1">
      <c r="A6" s="10" t="s">
        <v>478</v>
      </c>
      <c r="B6" s="10" t="s">
        <v>23</v>
      </c>
      <c r="C6" s="10" t="s">
        <v>472</v>
      </c>
      <c r="D6" s="10" t="s">
        <v>479</v>
      </c>
      <c r="E6" s="10"/>
      <c r="F6" s="10" t="s">
        <v>480</v>
      </c>
      <c r="G6" s="10" t="s">
        <v>27</v>
      </c>
      <c r="H6" s="11">
        <v>45896.0</v>
      </c>
      <c r="I6" s="12" t="s">
        <v>481</v>
      </c>
      <c r="J6" s="10" t="s">
        <v>42</v>
      </c>
      <c r="K6" s="10" t="s">
        <v>30</v>
      </c>
      <c r="L6" s="10" t="s">
        <v>31</v>
      </c>
      <c r="M6" s="10" t="s">
        <v>44</v>
      </c>
      <c r="N6" s="10" t="s">
        <v>45</v>
      </c>
      <c r="O6" s="10" t="s">
        <v>300</v>
      </c>
      <c r="P6" s="10" t="s">
        <v>35</v>
      </c>
      <c r="Q6" s="10" t="s">
        <v>482</v>
      </c>
      <c r="R6" s="10" t="s">
        <v>483</v>
      </c>
      <c r="S6" s="10" t="s">
        <v>182</v>
      </c>
      <c r="T6" s="61">
        <v>46138.0</v>
      </c>
      <c r="U6" s="62" t="s">
        <v>219</v>
      </c>
      <c r="V6" s="62"/>
      <c r="W6" s="62"/>
      <c r="X6" s="62"/>
      <c r="Y6" s="62"/>
      <c r="Z6" s="62"/>
      <c r="AA6" s="62"/>
    </row>
    <row r="7" ht="16.5" customHeight="1">
      <c r="A7" s="10" t="s">
        <v>484</v>
      </c>
      <c r="B7" s="10" t="s">
        <v>68</v>
      </c>
      <c r="C7" s="10" t="s">
        <v>472</v>
      </c>
      <c r="D7" s="10" t="s">
        <v>485</v>
      </c>
      <c r="E7" s="10"/>
      <c r="F7" s="10" t="s">
        <v>486</v>
      </c>
      <c r="G7" s="10" t="s">
        <v>27</v>
      </c>
      <c r="H7" s="63">
        <v>45991.0</v>
      </c>
      <c r="I7" s="12" t="s">
        <v>487</v>
      </c>
      <c r="J7" s="10" t="s">
        <v>57</v>
      </c>
      <c r="K7" s="10" t="s">
        <v>58</v>
      </c>
      <c r="L7" s="10" t="s">
        <v>31</v>
      </c>
      <c r="M7" s="10" t="s">
        <v>32</v>
      </c>
      <c r="N7" s="10" t="s">
        <v>45</v>
      </c>
      <c r="O7" s="10" t="s">
        <v>34</v>
      </c>
      <c r="P7" s="10" t="s">
        <v>35</v>
      </c>
      <c r="Q7" s="10" t="s">
        <v>488</v>
      </c>
      <c r="R7" s="10" t="s">
        <v>489</v>
      </c>
      <c r="S7" s="10" t="s">
        <v>37</v>
      </c>
      <c r="T7" s="13">
        <v>46137.0</v>
      </c>
      <c r="U7" s="62" t="s">
        <v>219</v>
      </c>
      <c r="V7" s="62"/>
      <c r="W7" s="62"/>
      <c r="X7" s="62"/>
      <c r="Y7" s="62"/>
      <c r="Z7" s="62"/>
      <c r="AA7" s="62"/>
    </row>
    <row r="8" ht="16.5" customHeight="1">
      <c r="A8" s="10" t="s">
        <v>490</v>
      </c>
      <c r="B8" s="10" t="s">
        <v>68</v>
      </c>
      <c r="C8" s="10" t="s">
        <v>472</v>
      </c>
      <c r="D8" s="10" t="s">
        <v>485</v>
      </c>
      <c r="E8" s="10"/>
      <c r="F8" s="10" t="s">
        <v>491</v>
      </c>
      <c r="G8" s="10" t="s">
        <v>27</v>
      </c>
      <c r="H8" s="63">
        <v>45992.0</v>
      </c>
      <c r="I8" s="12" t="s">
        <v>492</v>
      </c>
      <c r="J8" s="10" t="s">
        <v>57</v>
      </c>
      <c r="K8" s="10" t="s">
        <v>82</v>
      </c>
      <c r="L8" s="10" t="s">
        <v>31</v>
      </c>
      <c r="M8" s="10" t="s">
        <v>32</v>
      </c>
      <c r="N8" s="10" t="s">
        <v>45</v>
      </c>
      <c r="O8" s="10" t="s">
        <v>34</v>
      </c>
      <c r="P8" s="10" t="s">
        <v>35</v>
      </c>
      <c r="Q8" s="10" t="s">
        <v>493</v>
      </c>
      <c r="R8" s="10"/>
      <c r="S8" s="10" t="s">
        <v>37</v>
      </c>
      <c r="T8" s="13">
        <v>46138.0</v>
      </c>
      <c r="U8" s="62" t="s">
        <v>219</v>
      </c>
      <c r="V8" s="62"/>
      <c r="W8" s="62"/>
      <c r="X8" s="62"/>
      <c r="Y8" s="62"/>
      <c r="Z8" s="62"/>
      <c r="AA8" s="62"/>
    </row>
    <row r="9" ht="16.5" customHeight="1">
      <c r="A9" s="10" t="s">
        <v>494</v>
      </c>
      <c r="B9" s="10" t="s">
        <v>68</v>
      </c>
      <c r="C9" s="10" t="s">
        <v>472</v>
      </c>
      <c r="D9" s="10" t="s">
        <v>495</v>
      </c>
      <c r="E9" s="10"/>
      <c r="F9" s="10" t="s">
        <v>496</v>
      </c>
      <c r="G9" s="10" t="s">
        <v>27</v>
      </c>
      <c r="H9" s="63">
        <v>44917.0</v>
      </c>
      <c r="I9" s="64" t="s">
        <v>497</v>
      </c>
      <c r="J9" s="10" t="s">
        <v>42</v>
      </c>
      <c r="K9" s="10" t="s">
        <v>30</v>
      </c>
      <c r="L9" s="10" t="s">
        <v>31</v>
      </c>
      <c r="M9" s="10" t="s">
        <v>33</v>
      </c>
      <c r="N9" s="10" t="s">
        <v>45</v>
      </c>
      <c r="O9" s="10" t="s">
        <v>34</v>
      </c>
      <c r="P9" s="10" t="s">
        <v>35</v>
      </c>
      <c r="Q9" s="10" t="s">
        <v>498</v>
      </c>
      <c r="R9" s="10"/>
      <c r="S9" s="10"/>
      <c r="T9" s="10"/>
      <c r="U9" s="62" t="s">
        <v>219</v>
      </c>
      <c r="V9" s="62"/>
      <c r="W9" s="62"/>
      <c r="X9" s="62"/>
      <c r="Y9" s="62"/>
      <c r="Z9" s="62"/>
      <c r="AA9" s="62"/>
    </row>
    <row r="10" ht="16.5" customHeight="1">
      <c r="A10" s="10" t="s">
        <v>499</v>
      </c>
      <c r="B10" s="10" t="s">
        <v>68</v>
      </c>
      <c r="C10" s="10" t="s">
        <v>472</v>
      </c>
      <c r="D10" s="10" t="s">
        <v>500</v>
      </c>
      <c r="E10" s="10"/>
      <c r="F10" s="10" t="s">
        <v>501</v>
      </c>
      <c r="G10" s="10" t="s">
        <v>27</v>
      </c>
      <c r="H10" s="11">
        <v>45105.0</v>
      </c>
      <c r="I10" s="12" t="s">
        <v>502</v>
      </c>
      <c r="J10" s="10" t="s">
        <v>42</v>
      </c>
      <c r="K10" s="10" t="s">
        <v>30</v>
      </c>
      <c r="L10" s="10" t="s">
        <v>30</v>
      </c>
      <c r="M10" s="10" t="s">
        <v>44</v>
      </c>
      <c r="N10" s="10" t="s">
        <v>45</v>
      </c>
      <c r="O10" s="10" t="s">
        <v>34</v>
      </c>
      <c r="P10" s="10" t="s">
        <v>503</v>
      </c>
      <c r="Q10" s="10" t="s">
        <v>504</v>
      </c>
      <c r="R10" s="10"/>
      <c r="S10" s="10" t="s">
        <v>37</v>
      </c>
      <c r="T10" s="13">
        <v>46138.0</v>
      </c>
      <c r="U10" s="62" t="s">
        <v>219</v>
      </c>
      <c r="V10" s="62"/>
      <c r="W10" s="62"/>
      <c r="X10" s="62"/>
      <c r="Y10" s="62"/>
      <c r="Z10" s="62"/>
      <c r="AA10" s="62"/>
    </row>
    <row r="11" ht="16.5" customHeight="1">
      <c r="A11" s="10" t="s">
        <v>505</v>
      </c>
      <c r="B11" s="10" t="s">
        <v>68</v>
      </c>
      <c r="C11" s="10" t="s">
        <v>472</v>
      </c>
      <c r="D11" s="12" t="s">
        <v>506</v>
      </c>
      <c r="E11" s="10"/>
      <c r="F11" s="10" t="s">
        <v>507</v>
      </c>
      <c r="G11" s="10" t="s">
        <v>71</v>
      </c>
      <c r="H11" s="65">
        <v>46138.0</v>
      </c>
      <c r="I11" s="64" t="s">
        <v>508</v>
      </c>
      <c r="J11" s="10" t="s">
        <v>42</v>
      </c>
      <c r="K11" s="10" t="s">
        <v>30</v>
      </c>
      <c r="L11" s="10" t="s">
        <v>30</v>
      </c>
      <c r="M11" s="10" t="s">
        <v>45</v>
      </c>
      <c r="N11" s="10" t="s">
        <v>44</v>
      </c>
      <c r="O11" s="10" t="s">
        <v>34</v>
      </c>
      <c r="P11" s="10" t="s">
        <v>46</v>
      </c>
      <c r="Q11" s="10" t="s">
        <v>509</v>
      </c>
      <c r="R11" s="10"/>
      <c r="S11" s="10" t="s">
        <v>182</v>
      </c>
      <c r="T11" s="61">
        <v>46138.0</v>
      </c>
      <c r="U11" s="62" t="s">
        <v>219</v>
      </c>
      <c r="V11" s="62"/>
      <c r="W11" s="62"/>
      <c r="X11" s="62"/>
      <c r="Y11" s="62"/>
      <c r="Z11" s="62"/>
      <c r="AA11" s="62"/>
    </row>
    <row r="12" ht="16.5" customHeight="1">
      <c r="A12" s="10" t="s">
        <v>510</v>
      </c>
      <c r="B12" s="10" t="s">
        <v>68</v>
      </c>
      <c r="C12" s="10" t="s">
        <v>472</v>
      </c>
      <c r="D12" s="10" t="s">
        <v>511</v>
      </c>
      <c r="E12" s="10"/>
      <c r="F12" s="10" t="s">
        <v>512</v>
      </c>
      <c r="G12" s="10" t="s">
        <v>278</v>
      </c>
      <c r="H12" s="62"/>
      <c r="I12" s="64" t="s">
        <v>513</v>
      </c>
      <c r="J12" s="10" t="s">
        <v>42</v>
      </c>
      <c r="K12" s="10" t="s">
        <v>30</v>
      </c>
      <c r="L12" s="10" t="s">
        <v>30</v>
      </c>
      <c r="M12" s="10" t="s">
        <v>44</v>
      </c>
      <c r="N12" s="10" t="s">
        <v>45</v>
      </c>
      <c r="O12" s="10" t="s">
        <v>300</v>
      </c>
      <c r="P12" s="10" t="s">
        <v>35</v>
      </c>
      <c r="Q12" s="10" t="s">
        <v>514</v>
      </c>
      <c r="R12" s="10"/>
      <c r="S12" s="10"/>
      <c r="T12" s="10"/>
      <c r="U12" s="62" t="s">
        <v>219</v>
      </c>
      <c r="V12" s="62"/>
      <c r="W12" s="62"/>
      <c r="X12" s="62"/>
      <c r="Y12" s="62"/>
      <c r="Z12" s="62"/>
      <c r="AA12" s="62"/>
    </row>
    <row r="13" ht="16.5" customHeight="1">
      <c r="A13" s="10" t="s">
        <v>515</v>
      </c>
      <c r="B13" s="10" t="s">
        <v>68</v>
      </c>
      <c r="C13" s="10" t="s">
        <v>472</v>
      </c>
      <c r="D13" s="10" t="s">
        <v>516</v>
      </c>
      <c r="E13" s="10"/>
      <c r="F13" s="10" t="s">
        <v>517</v>
      </c>
      <c r="G13" s="10" t="s">
        <v>132</v>
      </c>
      <c r="H13" s="10"/>
      <c r="I13" s="12" t="s">
        <v>518</v>
      </c>
      <c r="J13" s="10" t="s">
        <v>42</v>
      </c>
      <c r="K13" s="10" t="s">
        <v>30</v>
      </c>
      <c r="L13" s="10" t="s">
        <v>30</v>
      </c>
      <c r="M13" s="10" t="s">
        <v>44</v>
      </c>
      <c r="N13" s="10"/>
      <c r="O13" s="10" t="s">
        <v>300</v>
      </c>
      <c r="P13" s="10" t="s">
        <v>35</v>
      </c>
      <c r="Q13" s="10" t="s">
        <v>519</v>
      </c>
      <c r="R13" s="10" t="s">
        <v>520</v>
      </c>
      <c r="S13" s="10" t="s">
        <v>182</v>
      </c>
      <c r="T13" s="61">
        <v>46138.0</v>
      </c>
      <c r="U13" s="62" t="s">
        <v>219</v>
      </c>
      <c r="V13" s="62"/>
      <c r="W13" s="62"/>
      <c r="X13" s="62"/>
      <c r="Y13" s="62"/>
      <c r="Z13" s="62"/>
      <c r="AA13" s="62"/>
    </row>
    <row r="14" ht="16.5" customHeight="1">
      <c r="A14" s="10" t="s">
        <v>521</v>
      </c>
      <c r="B14" s="10" t="s">
        <v>90</v>
      </c>
      <c r="C14" s="10" t="s">
        <v>472</v>
      </c>
      <c r="D14" s="10" t="s">
        <v>522</v>
      </c>
      <c r="E14" s="10" t="s">
        <v>523</v>
      </c>
      <c r="F14" s="10" t="s">
        <v>524</v>
      </c>
      <c r="G14" s="10" t="s">
        <v>132</v>
      </c>
      <c r="H14" s="10"/>
      <c r="I14" s="12" t="s">
        <v>525</v>
      </c>
      <c r="J14" s="10" t="s">
        <v>42</v>
      </c>
      <c r="K14" s="10" t="s">
        <v>30</v>
      </c>
      <c r="L14" s="10" t="s">
        <v>30</v>
      </c>
      <c r="M14" s="10" t="s">
        <v>44</v>
      </c>
      <c r="N14" s="10" t="s">
        <v>45</v>
      </c>
      <c r="O14" s="10" t="s">
        <v>300</v>
      </c>
      <c r="P14" s="10" t="s">
        <v>46</v>
      </c>
      <c r="Q14" s="10" t="s">
        <v>526</v>
      </c>
      <c r="R14" s="10"/>
      <c r="S14" s="10" t="s">
        <v>182</v>
      </c>
      <c r="T14" s="61">
        <v>46138.0</v>
      </c>
      <c r="U14" s="62" t="s">
        <v>219</v>
      </c>
      <c r="V14" s="62"/>
      <c r="W14" s="62"/>
      <c r="X14" s="62"/>
      <c r="Y14" s="62"/>
      <c r="Z14" s="62"/>
      <c r="AA14" s="62"/>
    </row>
    <row r="15" ht="16.5" customHeight="1">
      <c r="A15" s="10" t="s">
        <v>527</v>
      </c>
      <c r="B15" s="10" t="s">
        <v>90</v>
      </c>
      <c r="C15" s="10" t="s">
        <v>472</v>
      </c>
      <c r="D15" s="10" t="s">
        <v>528</v>
      </c>
      <c r="E15" s="10" t="s">
        <v>523</v>
      </c>
      <c r="F15" s="10" t="s">
        <v>529</v>
      </c>
      <c r="G15" s="10" t="s">
        <v>121</v>
      </c>
      <c r="H15" s="62"/>
      <c r="I15" s="64" t="s">
        <v>530</v>
      </c>
      <c r="J15" s="10" t="s">
        <v>42</v>
      </c>
      <c r="K15" s="10" t="s">
        <v>30</v>
      </c>
      <c r="L15" s="10" t="s">
        <v>30</v>
      </c>
      <c r="M15" s="10" t="s">
        <v>45</v>
      </c>
      <c r="N15" s="10" t="s">
        <v>44</v>
      </c>
      <c r="O15" s="10" t="s">
        <v>34</v>
      </c>
      <c r="P15" s="10" t="s">
        <v>46</v>
      </c>
      <c r="Q15" s="10" t="s">
        <v>531</v>
      </c>
      <c r="R15" s="10"/>
      <c r="S15" s="10" t="s">
        <v>182</v>
      </c>
      <c r="T15" s="61">
        <v>46138.0</v>
      </c>
      <c r="U15" s="62" t="s">
        <v>219</v>
      </c>
      <c r="V15" s="62"/>
      <c r="W15" s="62"/>
      <c r="X15" s="62"/>
      <c r="Y15" s="62"/>
      <c r="Z15" s="62"/>
      <c r="AA15" s="62"/>
    </row>
    <row r="16" ht="16.5" customHeight="1">
      <c r="A16" s="10" t="s">
        <v>532</v>
      </c>
      <c r="B16" s="10" t="s">
        <v>90</v>
      </c>
      <c r="C16" s="10" t="s">
        <v>472</v>
      </c>
      <c r="D16" s="10" t="s">
        <v>533</v>
      </c>
      <c r="E16" s="10" t="s">
        <v>523</v>
      </c>
      <c r="F16" s="10" t="s">
        <v>534</v>
      </c>
      <c r="G16" s="10" t="s">
        <v>27</v>
      </c>
      <c r="H16" s="62"/>
      <c r="I16" s="64" t="s">
        <v>535</v>
      </c>
      <c r="J16" s="10" t="s">
        <v>42</v>
      </c>
      <c r="K16" s="10" t="s">
        <v>102</v>
      </c>
      <c r="L16" s="10" t="s">
        <v>103</v>
      </c>
      <c r="M16" s="10" t="s">
        <v>96</v>
      </c>
      <c r="N16" s="10" t="s">
        <v>44</v>
      </c>
      <c r="O16" s="10" t="s">
        <v>34</v>
      </c>
      <c r="P16" s="10" t="s">
        <v>46</v>
      </c>
      <c r="Q16" s="10" t="s">
        <v>536</v>
      </c>
      <c r="R16" s="10"/>
      <c r="S16" s="10" t="s">
        <v>182</v>
      </c>
      <c r="T16" s="61">
        <v>46138.0</v>
      </c>
      <c r="U16" s="62" t="s">
        <v>219</v>
      </c>
      <c r="V16" s="62"/>
      <c r="W16" s="62"/>
      <c r="X16" s="62"/>
      <c r="Y16" s="62"/>
      <c r="Z16" s="62"/>
      <c r="AA16" s="62"/>
    </row>
    <row r="17" ht="16.5" customHeight="1">
      <c r="A17" s="10" t="s">
        <v>537</v>
      </c>
      <c r="B17" s="10" t="s">
        <v>90</v>
      </c>
      <c r="C17" s="10" t="s">
        <v>472</v>
      </c>
      <c r="D17" s="10" t="s">
        <v>523</v>
      </c>
      <c r="E17" s="10" t="s">
        <v>523</v>
      </c>
      <c r="F17" s="10" t="s">
        <v>538</v>
      </c>
      <c r="G17" s="10" t="s">
        <v>94</v>
      </c>
      <c r="H17" s="10"/>
      <c r="I17" s="12" t="s">
        <v>539</v>
      </c>
      <c r="J17" s="10" t="s">
        <v>42</v>
      </c>
      <c r="K17" s="10" t="s">
        <v>30</v>
      </c>
      <c r="L17" s="10" t="s">
        <v>103</v>
      </c>
      <c r="M17" s="10" t="s">
        <v>59</v>
      </c>
      <c r="N17" s="10" t="s">
        <v>44</v>
      </c>
      <c r="O17" s="10" t="s">
        <v>97</v>
      </c>
      <c r="P17" s="10" t="s">
        <v>46</v>
      </c>
      <c r="Q17" s="10" t="s">
        <v>540</v>
      </c>
      <c r="R17" s="10"/>
      <c r="S17" s="10" t="s">
        <v>182</v>
      </c>
      <c r="T17" s="61">
        <v>46138.0</v>
      </c>
      <c r="U17" s="62" t="s">
        <v>219</v>
      </c>
      <c r="V17" s="62"/>
      <c r="W17" s="62"/>
      <c r="X17" s="62"/>
      <c r="Y17" s="62"/>
      <c r="Z17" s="62"/>
      <c r="AA17" s="62"/>
    </row>
    <row r="18" ht="16.5" customHeight="1">
      <c r="A18" s="10" t="s">
        <v>541</v>
      </c>
      <c r="B18" s="10" t="s">
        <v>114</v>
      </c>
      <c r="C18" s="10" t="s">
        <v>472</v>
      </c>
      <c r="D18" s="10" t="s">
        <v>542</v>
      </c>
      <c r="E18" s="10" t="s">
        <v>523</v>
      </c>
      <c r="F18" s="10" t="s">
        <v>543</v>
      </c>
      <c r="G18" s="10" t="s">
        <v>94</v>
      </c>
      <c r="H18" s="10"/>
      <c r="I18" s="12" t="s">
        <v>544</v>
      </c>
      <c r="J18" s="10" t="s">
        <v>57</v>
      </c>
      <c r="K18" s="10" t="s">
        <v>82</v>
      </c>
      <c r="L18" s="10" t="s">
        <v>103</v>
      </c>
      <c r="M18" s="10" t="s">
        <v>96</v>
      </c>
      <c r="N18" s="10" t="s">
        <v>32</v>
      </c>
      <c r="O18" s="10" t="s">
        <v>34</v>
      </c>
      <c r="P18" s="10" t="s">
        <v>503</v>
      </c>
      <c r="Q18" s="10" t="s">
        <v>545</v>
      </c>
      <c r="R18" s="10"/>
      <c r="S18" s="10" t="s">
        <v>182</v>
      </c>
      <c r="T18" s="61">
        <v>46138.0</v>
      </c>
      <c r="U18" s="62" t="s">
        <v>219</v>
      </c>
      <c r="V18" s="62"/>
      <c r="W18" s="62"/>
      <c r="X18" s="62"/>
      <c r="Y18" s="62"/>
      <c r="Z18" s="62"/>
      <c r="AA18" s="62"/>
    </row>
    <row r="19" ht="16.5" customHeight="1">
      <c r="A19" s="10" t="s">
        <v>546</v>
      </c>
      <c r="B19" s="10" t="s">
        <v>90</v>
      </c>
      <c r="C19" s="10" t="s">
        <v>472</v>
      </c>
      <c r="D19" s="10" t="s">
        <v>547</v>
      </c>
      <c r="E19" s="10" t="s">
        <v>523</v>
      </c>
      <c r="F19" s="10" t="s">
        <v>548</v>
      </c>
      <c r="G19" s="10" t="s">
        <v>94</v>
      </c>
      <c r="H19" s="10"/>
      <c r="I19" s="12" t="s">
        <v>549</v>
      </c>
      <c r="J19" s="10" t="s">
        <v>57</v>
      </c>
      <c r="K19" s="10" t="s">
        <v>82</v>
      </c>
      <c r="L19" s="10" t="s">
        <v>103</v>
      </c>
      <c r="M19" s="10" t="s">
        <v>96</v>
      </c>
      <c r="N19" s="10" t="s">
        <v>32</v>
      </c>
      <c r="O19" s="10" t="s">
        <v>34</v>
      </c>
      <c r="P19" s="10" t="s">
        <v>503</v>
      </c>
      <c r="Q19" s="10" t="s">
        <v>550</v>
      </c>
      <c r="R19" s="10"/>
      <c r="S19" s="10" t="s">
        <v>182</v>
      </c>
      <c r="T19" s="61">
        <v>46138.0</v>
      </c>
      <c r="U19" s="62" t="s">
        <v>219</v>
      </c>
      <c r="V19" s="62"/>
      <c r="W19" s="62"/>
      <c r="X19" s="62"/>
      <c r="Y19" s="62"/>
      <c r="Z19" s="62"/>
      <c r="AA19" s="62"/>
    </row>
    <row r="20" ht="16.5" customHeight="1">
      <c r="A20" s="10" t="s">
        <v>551</v>
      </c>
      <c r="B20" s="10" t="s">
        <v>174</v>
      </c>
      <c r="C20" s="10" t="s">
        <v>472</v>
      </c>
      <c r="D20" s="10" t="s">
        <v>523</v>
      </c>
      <c r="E20" s="10" t="s">
        <v>523</v>
      </c>
      <c r="F20" s="10" t="s">
        <v>552</v>
      </c>
      <c r="G20" s="10" t="s">
        <v>177</v>
      </c>
      <c r="H20" s="62"/>
      <c r="I20" s="64" t="s">
        <v>553</v>
      </c>
      <c r="J20" s="10" t="s">
        <v>57</v>
      </c>
      <c r="K20" s="10" t="s">
        <v>30</v>
      </c>
      <c r="L20" s="10" t="s">
        <v>103</v>
      </c>
      <c r="M20" s="10" t="s">
        <v>96</v>
      </c>
      <c r="N20" s="10" t="s">
        <v>45</v>
      </c>
      <c r="O20" s="10" t="s">
        <v>110</v>
      </c>
      <c r="P20" s="10" t="s">
        <v>151</v>
      </c>
      <c r="Q20" s="10" t="s">
        <v>554</v>
      </c>
      <c r="R20" s="10" t="s">
        <v>555</v>
      </c>
      <c r="S20" s="10" t="s">
        <v>182</v>
      </c>
      <c r="T20" s="61">
        <v>46138.0</v>
      </c>
      <c r="U20" s="62" t="s">
        <v>219</v>
      </c>
      <c r="V20" s="62"/>
      <c r="W20" s="62"/>
      <c r="X20" s="62"/>
      <c r="Y20" s="62"/>
      <c r="Z20" s="62"/>
      <c r="AA20" s="62"/>
    </row>
    <row r="21">
      <c r="A21" s="10" t="s">
        <v>556</v>
      </c>
      <c r="B21" s="10" t="s">
        <v>114</v>
      </c>
      <c r="C21" s="10" t="s">
        <v>472</v>
      </c>
      <c r="D21" s="10" t="s">
        <v>523</v>
      </c>
      <c r="E21" s="10" t="s">
        <v>523</v>
      </c>
      <c r="F21" s="10" t="s">
        <v>557</v>
      </c>
      <c r="G21" s="10" t="s">
        <v>177</v>
      </c>
      <c r="H21" s="16"/>
      <c r="I21" s="66" t="s">
        <v>558</v>
      </c>
      <c r="J21" s="10" t="s">
        <v>29</v>
      </c>
      <c r="K21" s="10" t="s">
        <v>30</v>
      </c>
      <c r="L21" s="10" t="s">
        <v>30</v>
      </c>
      <c r="M21" s="10" t="s">
        <v>45</v>
      </c>
      <c r="N21" s="10"/>
      <c r="O21" s="10" t="s">
        <v>300</v>
      </c>
      <c r="P21" s="10" t="s">
        <v>151</v>
      </c>
      <c r="Q21" s="62" t="s">
        <v>559</v>
      </c>
    </row>
    <row r="22" ht="16.5" customHeight="1">
      <c r="A22" s="10" t="s">
        <v>560</v>
      </c>
      <c r="B22" s="10" t="s">
        <v>114</v>
      </c>
      <c r="C22" s="10" t="s">
        <v>472</v>
      </c>
      <c r="D22" s="10" t="s">
        <v>523</v>
      </c>
      <c r="E22" s="10" t="s">
        <v>523</v>
      </c>
      <c r="F22" s="10" t="s">
        <v>561</v>
      </c>
      <c r="G22" s="10" t="s">
        <v>177</v>
      </c>
      <c r="H22" s="62"/>
      <c r="I22" s="64" t="s">
        <v>562</v>
      </c>
      <c r="J22" s="10" t="s">
        <v>42</v>
      </c>
      <c r="K22" s="10" t="s">
        <v>30</v>
      </c>
      <c r="L22" s="10" t="s">
        <v>150</v>
      </c>
      <c r="M22" s="10" t="s">
        <v>45</v>
      </c>
      <c r="N22" s="10"/>
      <c r="O22" s="10" t="s">
        <v>110</v>
      </c>
      <c r="P22" s="10" t="s">
        <v>151</v>
      </c>
      <c r="Q22" s="10" t="s">
        <v>563</v>
      </c>
      <c r="R22" s="10" t="s">
        <v>564</v>
      </c>
      <c r="S22" s="10" t="s">
        <v>182</v>
      </c>
      <c r="T22" s="61">
        <v>46138.0</v>
      </c>
      <c r="U22" s="62" t="s">
        <v>219</v>
      </c>
      <c r="V22" s="62"/>
      <c r="W22" s="62"/>
      <c r="X22" s="62"/>
      <c r="Y22" s="62"/>
      <c r="Z22" s="62"/>
      <c r="AA22" s="62"/>
    </row>
    <row r="23" ht="16.5" customHeight="1">
      <c r="A23" s="10" t="s">
        <v>565</v>
      </c>
      <c r="B23" s="10" t="s">
        <v>114</v>
      </c>
      <c r="C23" s="10" t="s">
        <v>472</v>
      </c>
      <c r="D23" s="10" t="s">
        <v>566</v>
      </c>
      <c r="E23" s="10" t="s">
        <v>523</v>
      </c>
      <c r="F23" s="10" t="s">
        <v>567</v>
      </c>
      <c r="G23" s="10" t="s">
        <v>94</v>
      </c>
      <c r="H23" s="62"/>
      <c r="I23" s="64" t="s">
        <v>568</v>
      </c>
      <c r="J23" s="10" t="s">
        <v>29</v>
      </c>
      <c r="K23" s="10" t="s">
        <v>30</v>
      </c>
      <c r="L23" s="10" t="s">
        <v>150</v>
      </c>
      <c r="M23" s="10" t="s">
        <v>96</v>
      </c>
      <c r="N23" s="10"/>
      <c r="O23" s="10" t="s">
        <v>97</v>
      </c>
      <c r="P23" s="10" t="s">
        <v>46</v>
      </c>
      <c r="Q23" s="62" t="s">
        <v>569</v>
      </c>
      <c r="R23" s="62" t="s">
        <v>570</v>
      </c>
      <c r="S23" s="62" t="s">
        <v>182</v>
      </c>
      <c r="T23" s="67">
        <v>46138.0</v>
      </c>
      <c r="U23" s="62" t="s">
        <v>219</v>
      </c>
      <c r="V23" s="62"/>
      <c r="W23" s="62"/>
      <c r="X23" s="62"/>
      <c r="Y23" s="62"/>
      <c r="Z23" s="62"/>
      <c r="AA23" s="62"/>
    </row>
    <row r="24" ht="16.5" customHeight="1">
      <c r="A24" s="10" t="s">
        <v>571</v>
      </c>
      <c r="B24" s="10" t="s">
        <v>90</v>
      </c>
      <c r="C24" s="10" t="s">
        <v>472</v>
      </c>
      <c r="D24" s="10" t="s">
        <v>522</v>
      </c>
      <c r="E24" s="10" t="s">
        <v>523</v>
      </c>
      <c r="F24" s="10" t="s">
        <v>572</v>
      </c>
      <c r="G24" s="10" t="s">
        <v>132</v>
      </c>
      <c r="H24" s="10"/>
      <c r="I24" s="12" t="s">
        <v>573</v>
      </c>
      <c r="J24" s="10" t="s">
        <v>42</v>
      </c>
      <c r="K24" s="10" t="s">
        <v>30</v>
      </c>
      <c r="L24" s="10" t="s">
        <v>30</v>
      </c>
      <c r="M24" s="10" t="s">
        <v>44</v>
      </c>
      <c r="N24" s="10"/>
      <c r="O24" s="10" t="s">
        <v>300</v>
      </c>
      <c r="P24" s="10" t="s">
        <v>46</v>
      </c>
      <c r="Q24" s="10" t="s">
        <v>574</v>
      </c>
      <c r="R24" s="10" t="s">
        <v>575</v>
      </c>
      <c r="S24" s="10" t="s">
        <v>182</v>
      </c>
      <c r="T24" s="61">
        <v>46138.0</v>
      </c>
      <c r="U24" s="62" t="s">
        <v>219</v>
      </c>
      <c r="V24" s="62"/>
      <c r="W24" s="62"/>
      <c r="X24" s="62"/>
      <c r="Y24" s="62"/>
      <c r="Z24" s="62"/>
      <c r="AA24" s="62"/>
    </row>
    <row r="25" ht="16.5" customHeight="1">
      <c r="A25" s="10" t="s">
        <v>576</v>
      </c>
      <c r="B25" s="10" t="s">
        <v>90</v>
      </c>
      <c r="C25" s="10" t="s">
        <v>472</v>
      </c>
      <c r="D25" s="10" t="s">
        <v>577</v>
      </c>
      <c r="E25" s="10" t="s">
        <v>578</v>
      </c>
      <c r="F25" s="10" t="s">
        <v>579</v>
      </c>
      <c r="G25" s="10" t="s">
        <v>71</v>
      </c>
      <c r="H25" s="68"/>
      <c r="I25" s="12" t="s">
        <v>580</v>
      </c>
      <c r="J25" s="10" t="s">
        <v>42</v>
      </c>
      <c r="K25" s="10" t="s">
        <v>102</v>
      </c>
      <c r="L25" s="10" t="s">
        <v>103</v>
      </c>
      <c r="M25" s="10" t="s">
        <v>45</v>
      </c>
      <c r="N25" s="10"/>
      <c r="O25" s="10" t="s">
        <v>34</v>
      </c>
      <c r="P25" s="10" t="s">
        <v>46</v>
      </c>
      <c r="Q25" s="16" t="s">
        <v>581</v>
      </c>
      <c r="R25" s="16"/>
      <c r="S25" s="10" t="s">
        <v>182</v>
      </c>
      <c r="T25" s="61">
        <v>46138.0</v>
      </c>
      <c r="U25" s="62" t="s">
        <v>219</v>
      </c>
      <c r="V25" s="62"/>
      <c r="W25" s="62"/>
      <c r="X25" s="62"/>
      <c r="Y25" s="62"/>
      <c r="Z25" s="62"/>
      <c r="AA25" s="62"/>
    </row>
    <row r="26" ht="16.5" customHeight="1">
      <c r="A26" s="10" t="s">
        <v>582</v>
      </c>
      <c r="B26" s="10" t="s">
        <v>90</v>
      </c>
      <c r="C26" s="10" t="s">
        <v>472</v>
      </c>
      <c r="D26" s="10" t="s">
        <v>583</v>
      </c>
      <c r="E26" s="10" t="s">
        <v>578</v>
      </c>
      <c r="F26" s="10" t="s">
        <v>584</v>
      </c>
      <c r="G26" s="10" t="s">
        <v>132</v>
      </c>
      <c r="H26" s="68"/>
      <c r="I26" s="12" t="s">
        <v>585</v>
      </c>
      <c r="J26" s="10" t="s">
        <v>42</v>
      </c>
      <c r="K26" s="10" t="s">
        <v>30</v>
      </c>
      <c r="L26" s="10" t="s">
        <v>30</v>
      </c>
      <c r="M26" s="10" t="s">
        <v>44</v>
      </c>
      <c r="N26" s="10"/>
      <c r="O26" s="10" t="s">
        <v>300</v>
      </c>
      <c r="P26" s="10" t="s">
        <v>46</v>
      </c>
      <c r="Q26" s="16" t="s">
        <v>586</v>
      </c>
      <c r="R26" s="16" t="s">
        <v>587</v>
      </c>
      <c r="S26" s="10" t="s">
        <v>182</v>
      </c>
      <c r="T26" s="61">
        <v>46138.0</v>
      </c>
      <c r="U26" s="62" t="s">
        <v>219</v>
      </c>
      <c r="V26" s="62"/>
      <c r="W26" s="62"/>
      <c r="X26" s="62"/>
      <c r="Y26" s="62"/>
      <c r="Z26" s="62"/>
      <c r="AA26" s="62"/>
    </row>
    <row r="27" ht="16.5" customHeight="1">
      <c r="A27" s="10" t="s">
        <v>588</v>
      </c>
      <c r="B27" s="10" t="s">
        <v>90</v>
      </c>
      <c r="C27" s="10" t="s">
        <v>472</v>
      </c>
      <c r="D27" s="10" t="s">
        <v>577</v>
      </c>
      <c r="E27" s="10" t="s">
        <v>578</v>
      </c>
      <c r="F27" s="10" t="s">
        <v>589</v>
      </c>
      <c r="G27" s="10" t="s">
        <v>94</v>
      </c>
      <c r="H27" s="68">
        <v>45566.0</v>
      </c>
      <c r="I27" s="12" t="s">
        <v>590</v>
      </c>
      <c r="J27" s="10" t="s">
        <v>42</v>
      </c>
      <c r="K27" s="10" t="s">
        <v>82</v>
      </c>
      <c r="L27" s="10" t="s">
        <v>150</v>
      </c>
      <c r="M27" s="10" t="s">
        <v>96</v>
      </c>
      <c r="N27" s="10" t="s">
        <v>44</v>
      </c>
      <c r="O27" s="10" t="s">
        <v>97</v>
      </c>
      <c r="P27" s="10" t="s">
        <v>46</v>
      </c>
      <c r="Q27" s="10" t="s">
        <v>591</v>
      </c>
      <c r="R27" s="10"/>
      <c r="S27" s="10" t="s">
        <v>182</v>
      </c>
      <c r="T27" s="68">
        <v>46137.0</v>
      </c>
      <c r="U27" s="62" t="s">
        <v>219</v>
      </c>
      <c r="V27" s="62"/>
      <c r="W27" s="62"/>
      <c r="X27" s="62"/>
      <c r="Y27" s="62"/>
      <c r="Z27" s="62"/>
      <c r="AA27" s="62"/>
    </row>
    <row r="28" ht="16.5" customHeight="1">
      <c r="A28" s="10" t="s">
        <v>592</v>
      </c>
      <c r="B28" s="10" t="s">
        <v>90</v>
      </c>
      <c r="C28" s="10" t="s">
        <v>472</v>
      </c>
      <c r="D28" s="10" t="s">
        <v>593</v>
      </c>
      <c r="E28" s="10" t="s">
        <v>578</v>
      </c>
      <c r="F28" s="10" t="s">
        <v>594</v>
      </c>
      <c r="G28" s="10" t="s">
        <v>27</v>
      </c>
      <c r="H28" s="68">
        <v>45513.0</v>
      </c>
      <c r="I28" s="12" t="s">
        <v>595</v>
      </c>
      <c r="J28" s="10" t="s">
        <v>57</v>
      </c>
      <c r="K28" s="10" t="s">
        <v>82</v>
      </c>
      <c r="L28" s="10" t="s">
        <v>103</v>
      </c>
      <c r="M28" s="10" t="s">
        <v>96</v>
      </c>
      <c r="N28" s="10" t="s">
        <v>59</v>
      </c>
      <c r="O28" s="10" t="s">
        <v>97</v>
      </c>
      <c r="P28" s="10" t="s">
        <v>46</v>
      </c>
      <c r="Q28" s="10" t="s">
        <v>596</v>
      </c>
      <c r="R28" s="10" t="s">
        <v>597</v>
      </c>
      <c r="S28" s="10" t="s">
        <v>182</v>
      </c>
      <c r="T28" s="68">
        <v>46137.0</v>
      </c>
      <c r="U28" s="62" t="s">
        <v>37</v>
      </c>
      <c r="V28" s="62"/>
      <c r="W28" s="62"/>
      <c r="X28" s="62"/>
      <c r="Y28" s="62"/>
      <c r="Z28" s="62"/>
      <c r="AA28" s="62"/>
    </row>
    <row r="29" ht="16.5" customHeight="1">
      <c r="A29" s="10" t="s">
        <v>598</v>
      </c>
      <c r="B29" s="10" t="s">
        <v>114</v>
      </c>
      <c r="C29" s="10" t="s">
        <v>472</v>
      </c>
      <c r="D29" s="10" t="s">
        <v>599</v>
      </c>
      <c r="E29" s="10" t="s">
        <v>578</v>
      </c>
      <c r="F29" s="10" t="s">
        <v>600</v>
      </c>
      <c r="G29" s="10" t="s">
        <v>94</v>
      </c>
      <c r="H29" s="68">
        <v>45673.0</v>
      </c>
      <c r="I29" s="12" t="s">
        <v>601</v>
      </c>
      <c r="J29" s="10" t="s">
        <v>57</v>
      </c>
      <c r="K29" s="10" t="s">
        <v>82</v>
      </c>
      <c r="L29" s="10" t="s">
        <v>43</v>
      </c>
      <c r="M29" s="10" t="s">
        <v>96</v>
      </c>
      <c r="N29" s="10"/>
      <c r="O29" s="10" t="s">
        <v>110</v>
      </c>
      <c r="P29" s="10" t="s">
        <v>46</v>
      </c>
      <c r="Q29" s="10" t="s">
        <v>602</v>
      </c>
      <c r="R29" s="10" t="s">
        <v>603</v>
      </c>
      <c r="S29" s="10" t="s">
        <v>182</v>
      </c>
      <c r="T29" s="61">
        <v>46137.0</v>
      </c>
      <c r="U29" s="62" t="s">
        <v>37</v>
      </c>
      <c r="V29" s="62"/>
      <c r="W29" s="62"/>
      <c r="X29" s="62"/>
      <c r="Y29" s="62"/>
      <c r="Z29" s="62"/>
      <c r="AA29" s="62"/>
    </row>
    <row r="30" ht="16.5" customHeight="1">
      <c r="A30" s="10" t="s">
        <v>604</v>
      </c>
      <c r="B30" s="10" t="s">
        <v>174</v>
      </c>
      <c r="C30" s="10" t="s">
        <v>472</v>
      </c>
      <c r="D30" s="10" t="s">
        <v>605</v>
      </c>
      <c r="E30" s="10" t="s">
        <v>578</v>
      </c>
      <c r="F30" s="10" t="s">
        <v>606</v>
      </c>
      <c r="G30" s="10" t="s">
        <v>177</v>
      </c>
      <c r="H30" s="10"/>
      <c r="I30" s="12" t="s">
        <v>607</v>
      </c>
      <c r="J30" s="10" t="s">
        <v>29</v>
      </c>
      <c r="K30" s="10" t="s">
        <v>30</v>
      </c>
      <c r="L30" s="10" t="s">
        <v>150</v>
      </c>
      <c r="M30" s="10" t="s">
        <v>96</v>
      </c>
      <c r="N30" s="10"/>
      <c r="O30" s="10" t="s">
        <v>97</v>
      </c>
      <c r="P30" s="10" t="s">
        <v>151</v>
      </c>
      <c r="Q30" s="10" t="s">
        <v>608</v>
      </c>
      <c r="R30" s="10" t="s">
        <v>609</v>
      </c>
      <c r="S30" s="10" t="s">
        <v>182</v>
      </c>
      <c r="T30" s="61">
        <v>46137.0</v>
      </c>
      <c r="U30" s="62" t="s">
        <v>37</v>
      </c>
      <c r="V30" s="62"/>
      <c r="W30" s="62"/>
      <c r="X30" s="62"/>
      <c r="Y30" s="62"/>
      <c r="Z30" s="62"/>
      <c r="AA30" s="62"/>
    </row>
    <row r="31" ht="16.5" customHeight="1">
      <c r="A31" s="10" t="s">
        <v>610</v>
      </c>
      <c r="B31" s="10" t="s">
        <v>174</v>
      </c>
      <c r="C31" s="10" t="s">
        <v>472</v>
      </c>
      <c r="D31" s="10" t="s">
        <v>605</v>
      </c>
      <c r="E31" s="10" t="s">
        <v>578</v>
      </c>
      <c r="F31" s="10" t="s">
        <v>611</v>
      </c>
      <c r="G31" s="10" t="s">
        <v>177</v>
      </c>
      <c r="H31" s="10"/>
      <c r="I31" s="12" t="s">
        <v>612</v>
      </c>
      <c r="J31" s="10" t="s">
        <v>29</v>
      </c>
      <c r="K31" s="10" t="s">
        <v>30</v>
      </c>
      <c r="L31" s="10" t="s">
        <v>150</v>
      </c>
      <c r="M31" s="10" t="s">
        <v>96</v>
      </c>
      <c r="N31" s="10"/>
      <c r="O31" s="10" t="s">
        <v>97</v>
      </c>
      <c r="P31" s="10" t="s">
        <v>151</v>
      </c>
      <c r="Q31" s="10" t="s">
        <v>608</v>
      </c>
      <c r="R31" s="10" t="s">
        <v>609</v>
      </c>
      <c r="S31" s="10" t="s">
        <v>182</v>
      </c>
      <c r="T31" s="61">
        <v>46137.0</v>
      </c>
      <c r="U31" s="62"/>
      <c r="V31" s="62"/>
      <c r="W31" s="62"/>
      <c r="X31" s="62"/>
      <c r="Y31" s="62"/>
      <c r="Z31" s="62"/>
      <c r="AA31" s="62"/>
    </row>
    <row r="32" ht="16.5" customHeight="1">
      <c r="A32" s="10" t="s">
        <v>613</v>
      </c>
      <c r="B32" s="10" t="s">
        <v>174</v>
      </c>
      <c r="C32" s="10" t="s">
        <v>472</v>
      </c>
      <c r="D32" s="10" t="s">
        <v>614</v>
      </c>
      <c r="E32" s="10" t="s">
        <v>578</v>
      </c>
      <c r="F32" s="10" t="s">
        <v>615</v>
      </c>
      <c r="G32" s="10" t="s">
        <v>177</v>
      </c>
      <c r="H32" s="10"/>
      <c r="I32" s="12" t="s">
        <v>616</v>
      </c>
      <c r="J32" s="10" t="s">
        <v>29</v>
      </c>
      <c r="K32" s="10" t="s">
        <v>30</v>
      </c>
      <c r="L32" s="10" t="s">
        <v>150</v>
      </c>
      <c r="M32" s="10" t="s">
        <v>96</v>
      </c>
      <c r="N32" s="10"/>
      <c r="O32" s="10" t="s">
        <v>97</v>
      </c>
      <c r="P32" s="10" t="s">
        <v>151</v>
      </c>
      <c r="Q32" s="10" t="s">
        <v>617</v>
      </c>
      <c r="R32" s="10" t="s">
        <v>618</v>
      </c>
      <c r="S32" s="10" t="s">
        <v>182</v>
      </c>
      <c r="T32" s="61">
        <v>46137.0</v>
      </c>
      <c r="U32" s="62" t="s">
        <v>37</v>
      </c>
      <c r="V32" s="62"/>
      <c r="W32" s="62"/>
      <c r="X32" s="62"/>
      <c r="Y32" s="62"/>
      <c r="Z32" s="62"/>
      <c r="AA32" s="62"/>
    </row>
    <row r="33" ht="16.5" customHeight="1">
      <c r="A33" s="10" t="s">
        <v>619</v>
      </c>
      <c r="B33" s="10" t="s">
        <v>90</v>
      </c>
      <c r="C33" s="10" t="s">
        <v>472</v>
      </c>
      <c r="D33" s="10" t="s">
        <v>620</v>
      </c>
      <c r="E33" s="10" t="s">
        <v>578</v>
      </c>
      <c r="F33" s="10" t="s">
        <v>621</v>
      </c>
      <c r="G33" s="10" t="s">
        <v>94</v>
      </c>
      <c r="H33" s="10"/>
      <c r="I33" s="12" t="s">
        <v>622</v>
      </c>
      <c r="J33" s="10" t="s">
        <v>42</v>
      </c>
      <c r="K33" s="10" t="s">
        <v>30</v>
      </c>
      <c r="L33" s="10" t="s">
        <v>150</v>
      </c>
      <c r="M33" s="10" t="s">
        <v>45</v>
      </c>
      <c r="N33" s="10"/>
      <c r="O33" s="10" t="s">
        <v>110</v>
      </c>
      <c r="P33" s="10" t="s">
        <v>151</v>
      </c>
      <c r="Q33" s="10" t="s">
        <v>623</v>
      </c>
      <c r="R33" s="10" t="s">
        <v>624</v>
      </c>
      <c r="S33" s="10" t="s">
        <v>182</v>
      </c>
      <c r="T33" s="61">
        <v>46138.0</v>
      </c>
      <c r="U33" s="62" t="s">
        <v>37</v>
      </c>
      <c r="V33" s="62"/>
      <c r="W33" s="62"/>
      <c r="X33" s="62"/>
      <c r="Y33" s="62"/>
      <c r="Z33" s="62"/>
      <c r="AA33" s="62"/>
    </row>
    <row r="34" ht="16.5" customHeight="1">
      <c r="A34" s="10" t="s">
        <v>625</v>
      </c>
      <c r="B34" s="10" t="s">
        <v>90</v>
      </c>
      <c r="C34" s="10" t="s">
        <v>472</v>
      </c>
      <c r="D34" s="10" t="s">
        <v>626</v>
      </c>
      <c r="E34" s="10" t="s">
        <v>627</v>
      </c>
      <c r="F34" s="10" t="s">
        <v>628</v>
      </c>
      <c r="G34" s="10" t="s">
        <v>132</v>
      </c>
      <c r="H34" s="68"/>
      <c r="I34" s="12" t="s">
        <v>629</v>
      </c>
      <c r="J34" s="10" t="s">
        <v>29</v>
      </c>
      <c r="K34" s="10" t="s">
        <v>30</v>
      </c>
      <c r="L34" s="10" t="s">
        <v>30</v>
      </c>
      <c r="M34" s="10" t="s">
        <v>44</v>
      </c>
      <c r="N34" s="10"/>
      <c r="O34" s="10" t="s">
        <v>300</v>
      </c>
      <c r="P34" s="10" t="s">
        <v>46</v>
      </c>
      <c r="Q34" s="10" t="s">
        <v>630</v>
      </c>
      <c r="R34" s="10"/>
      <c r="S34" s="10" t="s">
        <v>182</v>
      </c>
      <c r="T34" s="61">
        <v>46138.0</v>
      </c>
      <c r="U34" s="62" t="s">
        <v>37</v>
      </c>
      <c r="V34" s="62"/>
      <c r="W34" s="62"/>
      <c r="X34" s="62"/>
      <c r="Y34" s="62"/>
      <c r="Z34" s="62"/>
      <c r="AA34" s="62"/>
    </row>
    <row r="35" ht="16.5" customHeight="1">
      <c r="A35" s="10" t="s">
        <v>631</v>
      </c>
      <c r="B35" s="10" t="s">
        <v>90</v>
      </c>
      <c r="C35" s="10" t="s">
        <v>472</v>
      </c>
      <c r="D35" s="10" t="s">
        <v>632</v>
      </c>
      <c r="E35" s="10" t="s">
        <v>627</v>
      </c>
      <c r="F35" s="10" t="s">
        <v>633</v>
      </c>
      <c r="G35" s="10" t="s">
        <v>94</v>
      </c>
      <c r="H35" s="68">
        <v>46027.0</v>
      </c>
      <c r="I35" s="12" t="s">
        <v>634</v>
      </c>
      <c r="J35" s="10" t="s">
        <v>29</v>
      </c>
      <c r="K35" s="10" t="s">
        <v>82</v>
      </c>
      <c r="L35" s="10" t="s">
        <v>103</v>
      </c>
      <c r="M35" s="10" t="s">
        <v>96</v>
      </c>
      <c r="N35" s="10"/>
      <c r="O35" s="10" t="s">
        <v>97</v>
      </c>
      <c r="P35" s="10" t="s">
        <v>46</v>
      </c>
      <c r="Q35" s="10" t="s">
        <v>635</v>
      </c>
      <c r="R35" s="10"/>
      <c r="S35" s="10" t="s">
        <v>182</v>
      </c>
      <c r="T35" s="61">
        <v>46137.0</v>
      </c>
      <c r="U35" s="62" t="s">
        <v>37</v>
      </c>
      <c r="V35" s="62"/>
      <c r="W35" s="62"/>
      <c r="X35" s="62"/>
      <c r="Y35" s="62"/>
      <c r="Z35" s="62"/>
      <c r="AA35" s="62"/>
    </row>
    <row r="36" ht="16.5" customHeight="1">
      <c r="A36" s="10" t="s">
        <v>636</v>
      </c>
      <c r="B36" s="10" t="s">
        <v>114</v>
      </c>
      <c r="C36" s="10" t="s">
        <v>472</v>
      </c>
      <c r="D36" s="10" t="s">
        <v>637</v>
      </c>
      <c r="E36" s="10" t="s">
        <v>627</v>
      </c>
      <c r="F36" s="10" t="s">
        <v>638</v>
      </c>
      <c r="G36" s="10" t="s">
        <v>27</v>
      </c>
      <c r="H36" s="68">
        <v>45901.0</v>
      </c>
      <c r="I36" s="12" t="s">
        <v>639</v>
      </c>
      <c r="J36" s="10" t="s">
        <v>29</v>
      </c>
      <c r="K36" s="10" t="s">
        <v>82</v>
      </c>
      <c r="L36" s="10" t="s">
        <v>103</v>
      </c>
      <c r="M36" s="10" t="s">
        <v>96</v>
      </c>
      <c r="N36" s="10" t="s">
        <v>45</v>
      </c>
      <c r="O36" s="10" t="s">
        <v>97</v>
      </c>
      <c r="P36" s="10" t="s">
        <v>503</v>
      </c>
      <c r="Q36" s="10" t="s">
        <v>640</v>
      </c>
      <c r="R36" s="10"/>
      <c r="S36" s="10" t="s">
        <v>182</v>
      </c>
      <c r="T36" s="61">
        <v>46137.0</v>
      </c>
      <c r="U36" s="62" t="s">
        <v>37</v>
      </c>
      <c r="V36" s="62"/>
      <c r="W36" s="62"/>
      <c r="X36" s="62"/>
      <c r="Y36" s="62"/>
      <c r="Z36" s="62"/>
      <c r="AA36" s="62"/>
    </row>
    <row r="37" ht="16.5" customHeight="1">
      <c r="A37" s="10" t="s">
        <v>641</v>
      </c>
      <c r="B37" s="10" t="s">
        <v>114</v>
      </c>
      <c r="C37" s="10" t="s">
        <v>472</v>
      </c>
      <c r="D37" s="10" t="s">
        <v>642</v>
      </c>
      <c r="E37" s="10" t="s">
        <v>627</v>
      </c>
      <c r="F37" s="10" t="s">
        <v>643</v>
      </c>
      <c r="G37" s="10" t="s">
        <v>27</v>
      </c>
      <c r="H37" s="68">
        <v>46021.0</v>
      </c>
      <c r="I37" s="12" t="s">
        <v>644</v>
      </c>
      <c r="J37" s="10" t="s">
        <v>42</v>
      </c>
      <c r="K37" s="10" t="s">
        <v>82</v>
      </c>
      <c r="L37" s="10" t="s">
        <v>150</v>
      </c>
      <c r="M37" s="10" t="s">
        <v>44</v>
      </c>
      <c r="N37" s="10"/>
      <c r="O37" s="10" t="s">
        <v>34</v>
      </c>
      <c r="P37" s="10" t="s">
        <v>151</v>
      </c>
      <c r="Q37" s="10" t="s">
        <v>645</v>
      </c>
      <c r="R37" s="10" t="s">
        <v>646</v>
      </c>
      <c r="S37" s="10" t="s">
        <v>182</v>
      </c>
      <c r="T37" s="61">
        <v>46137.0</v>
      </c>
      <c r="U37" s="62" t="s">
        <v>37</v>
      </c>
      <c r="V37" s="62"/>
      <c r="W37" s="62"/>
      <c r="X37" s="62"/>
      <c r="Y37" s="62"/>
      <c r="Z37" s="62"/>
      <c r="AA37" s="62"/>
    </row>
    <row r="38" ht="16.5" customHeight="1">
      <c r="A38" s="10" t="s">
        <v>647</v>
      </c>
      <c r="B38" s="10" t="s">
        <v>90</v>
      </c>
      <c r="C38" s="10" t="s">
        <v>472</v>
      </c>
      <c r="D38" s="10" t="s">
        <v>648</v>
      </c>
      <c r="E38" s="10" t="s">
        <v>627</v>
      </c>
      <c r="F38" s="10" t="s">
        <v>649</v>
      </c>
      <c r="G38" s="10" t="s">
        <v>121</v>
      </c>
      <c r="H38" s="68">
        <v>46128.0</v>
      </c>
      <c r="I38" s="12" t="s">
        <v>650</v>
      </c>
      <c r="J38" s="10" t="s">
        <v>29</v>
      </c>
      <c r="K38" s="10" t="s">
        <v>82</v>
      </c>
      <c r="L38" s="10" t="s">
        <v>103</v>
      </c>
      <c r="M38" s="10" t="s">
        <v>96</v>
      </c>
      <c r="N38" s="10"/>
      <c r="O38" s="10" t="s">
        <v>34</v>
      </c>
      <c r="P38" s="10" t="s">
        <v>151</v>
      </c>
      <c r="Q38" s="10" t="s">
        <v>651</v>
      </c>
      <c r="R38" s="10" t="s">
        <v>652</v>
      </c>
      <c r="S38" s="10" t="s">
        <v>182</v>
      </c>
      <c r="T38" s="61">
        <v>46137.0</v>
      </c>
      <c r="U38" s="62" t="s">
        <v>37</v>
      </c>
      <c r="V38" s="62"/>
      <c r="W38" s="62"/>
      <c r="X38" s="62"/>
      <c r="Y38" s="62"/>
      <c r="Z38" s="62"/>
      <c r="AA38" s="62"/>
    </row>
    <row r="39" ht="16.5" customHeight="1">
      <c r="A39" s="10" t="s">
        <v>653</v>
      </c>
      <c r="B39" s="10" t="s">
        <v>90</v>
      </c>
      <c r="C39" s="10" t="s">
        <v>472</v>
      </c>
      <c r="D39" s="10" t="s">
        <v>654</v>
      </c>
      <c r="E39" s="10" t="s">
        <v>627</v>
      </c>
      <c r="F39" s="10" t="s">
        <v>655</v>
      </c>
      <c r="G39" s="10" t="s">
        <v>132</v>
      </c>
      <c r="H39" s="68"/>
      <c r="I39" s="12" t="s">
        <v>656</v>
      </c>
      <c r="J39" s="10" t="s">
        <v>42</v>
      </c>
      <c r="K39" s="10" t="s">
        <v>30</v>
      </c>
      <c r="L39" s="10" t="s">
        <v>30</v>
      </c>
      <c r="M39" s="10" t="s">
        <v>44</v>
      </c>
      <c r="N39" s="10" t="s">
        <v>45</v>
      </c>
      <c r="O39" s="10" t="s">
        <v>34</v>
      </c>
      <c r="P39" s="10" t="s">
        <v>46</v>
      </c>
      <c r="Q39" s="10" t="s">
        <v>657</v>
      </c>
      <c r="R39" s="10"/>
      <c r="S39" s="10"/>
      <c r="T39" s="61"/>
      <c r="U39" s="62" t="s">
        <v>37</v>
      </c>
      <c r="V39" s="62"/>
      <c r="W39" s="62"/>
      <c r="X39" s="62"/>
      <c r="Y39" s="62"/>
      <c r="Z39" s="62"/>
      <c r="AA39" s="62"/>
    </row>
    <row r="40" ht="16.5" customHeight="1">
      <c r="A40" s="10" t="s">
        <v>658</v>
      </c>
      <c r="B40" s="10" t="s">
        <v>174</v>
      </c>
      <c r="C40" s="10" t="s">
        <v>472</v>
      </c>
      <c r="D40" s="10" t="s">
        <v>627</v>
      </c>
      <c r="E40" s="10" t="s">
        <v>627</v>
      </c>
      <c r="F40" s="10" t="s">
        <v>659</v>
      </c>
      <c r="G40" s="10" t="s">
        <v>177</v>
      </c>
      <c r="H40" s="68">
        <v>45566.0</v>
      </c>
      <c r="I40" s="12" t="s">
        <v>660</v>
      </c>
      <c r="J40" s="10" t="s">
        <v>29</v>
      </c>
      <c r="K40" s="10" t="s">
        <v>30</v>
      </c>
      <c r="L40" s="10" t="s">
        <v>30</v>
      </c>
      <c r="M40" s="10" t="s">
        <v>44</v>
      </c>
      <c r="N40" s="10"/>
      <c r="O40" s="10" t="s">
        <v>300</v>
      </c>
      <c r="P40" s="10" t="s">
        <v>151</v>
      </c>
      <c r="Q40" s="10" t="s">
        <v>661</v>
      </c>
      <c r="R40" s="10" t="s">
        <v>662</v>
      </c>
      <c r="S40" s="10" t="s">
        <v>182</v>
      </c>
      <c r="T40" s="61">
        <v>46137.0</v>
      </c>
      <c r="U40" s="62" t="s">
        <v>37</v>
      </c>
      <c r="V40" s="62"/>
      <c r="W40" s="62"/>
      <c r="X40" s="62"/>
      <c r="Y40" s="62"/>
      <c r="Z40" s="62"/>
      <c r="AA40" s="62"/>
    </row>
    <row r="41" ht="16.5" customHeight="1">
      <c r="A41" s="10" t="s">
        <v>663</v>
      </c>
      <c r="B41" s="10" t="s">
        <v>174</v>
      </c>
      <c r="C41" s="10" t="s">
        <v>472</v>
      </c>
      <c r="D41" s="10" t="s">
        <v>627</v>
      </c>
      <c r="E41" s="10" t="s">
        <v>627</v>
      </c>
      <c r="F41" s="10" t="s">
        <v>664</v>
      </c>
      <c r="G41" s="10" t="s">
        <v>71</v>
      </c>
      <c r="H41" s="10"/>
      <c r="I41" s="12" t="s">
        <v>665</v>
      </c>
      <c r="J41" s="10" t="s">
        <v>29</v>
      </c>
      <c r="K41" s="10" t="s">
        <v>82</v>
      </c>
      <c r="L41" s="10" t="s">
        <v>103</v>
      </c>
      <c r="M41" s="10" t="s">
        <v>44</v>
      </c>
      <c r="N41" s="10" t="s">
        <v>32</v>
      </c>
      <c r="O41" s="10" t="s">
        <v>97</v>
      </c>
      <c r="P41" s="10" t="s">
        <v>46</v>
      </c>
      <c r="Q41" s="10" t="s">
        <v>666</v>
      </c>
      <c r="R41" s="10" t="s">
        <v>667</v>
      </c>
      <c r="S41" s="10" t="s">
        <v>182</v>
      </c>
      <c r="T41" s="61">
        <v>46137.0</v>
      </c>
      <c r="U41" s="62" t="s">
        <v>37</v>
      </c>
      <c r="V41" s="62"/>
      <c r="W41" s="62"/>
      <c r="X41" s="62"/>
      <c r="Y41" s="62"/>
      <c r="Z41" s="62"/>
      <c r="AA41" s="62"/>
    </row>
    <row r="42" ht="16.5" customHeight="1">
      <c r="A42" s="10" t="s">
        <v>668</v>
      </c>
      <c r="B42" s="10" t="s">
        <v>114</v>
      </c>
      <c r="C42" s="10" t="s">
        <v>472</v>
      </c>
      <c r="D42" s="10" t="s">
        <v>669</v>
      </c>
      <c r="E42" s="10" t="s">
        <v>627</v>
      </c>
      <c r="F42" s="10" t="s">
        <v>670</v>
      </c>
      <c r="G42" s="10" t="s">
        <v>94</v>
      </c>
      <c r="H42" s="68">
        <v>46054.0</v>
      </c>
      <c r="I42" s="12" t="s">
        <v>671</v>
      </c>
      <c r="J42" s="10" t="s">
        <v>57</v>
      </c>
      <c r="K42" s="10" t="s">
        <v>82</v>
      </c>
      <c r="L42" s="10" t="s">
        <v>150</v>
      </c>
      <c r="M42" s="10" t="s">
        <v>96</v>
      </c>
      <c r="N42" s="10"/>
      <c r="O42" s="10" t="s">
        <v>110</v>
      </c>
      <c r="P42" s="10" t="s">
        <v>151</v>
      </c>
      <c r="Q42" s="10" t="s">
        <v>672</v>
      </c>
      <c r="R42" s="10" t="s">
        <v>673</v>
      </c>
      <c r="S42" s="10" t="s">
        <v>182</v>
      </c>
      <c r="T42" s="61">
        <v>46138.0</v>
      </c>
      <c r="U42" s="62" t="s">
        <v>37</v>
      </c>
      <c r="V42" s="62"/>
      <c r="W42" s="62"/>
      <c r="X42" s="62"/>
      <c r="Y42" s="62"/>
      <c r="Z42" s="62"/>
      <c r="AA42" s="62"/>
    </row>
    <row r="43" ht="16.5" customHeight="1">
      <c r="A43" s="10" t="s">
        <v>674</v>
      </c>
      <c r="B43" s="10" t="s">
        <v>90</v>
      </c>
      <c r="C43" s="10" t="s">
        <v>472</v>
      </c>
      <c r="D43" s="10" t="s">
        <v>627</v>
      </c>
      <c r="E43" s="10" t="s">
        <v>627</v>
      </c>
      <c r="F43" s="10" t="s">
        <v>675</v>
      </c>
      <c r="G43" s="10" t="s">
        <v>94</v>
      </c>
      <c r="H43" s="10"/>
      <c r="I43" s="12" t="s">
        <v>676</v>
      </c>
      <c r="J43" s="10" t="s">
        <v>42</v>
      </c>
      <c r="K43" s="10" t="s">
        <v>30</v>
      </c>
      <c r="L43" s="10" t="s">
        <v>150</v>
      </c>
      <c r="M43" s="10" t="s">
        <v>45</v>
      </c>
      <c r="N43" s="10"/>
      <c r="O43" s="10" t="s">
        <v>110</v>
      </c>
      <c r="P43" s="10" t="s">
        <v>151</v>
      </c>
      <c r="Q43" s="10" t="s">
        <v>677</v>
      </c>
      <c r="R43" s="10" t="s">
        <v>624</v>
      </c>
      <c r="S43" s="10"/>
      <c r="T43" s="10"/>
      <c r="U43" s="62" t="s">
        <v>37</v>
      </c>
      <c r="V43" s="62"/>
      <c r="W43" s="62"/>
      <c r="X43" s="62"/>
      <c r="Y43" s="62"/>
      <c r="Z43" s="62"/>
      <c r="AA43" s="62"/>
    </row>
    <row r="44" ht="16.5" customHeight="1">
      <c r="A44" s="10" t="s">
        <v>678</v>
      </c>
      <c r="B44" s="10" t="s">
        <v>90</v>
      </c>
      <c r="C44" s="10" t="s">
        <v>472</v>
      </c>
      <c r="D44" s="10" t="s">
        <v>679</v>
      </c>
      <c r="E44" s="10" t="s">
        <v>627</v>
      </c>
      <c r="F44" s="10" t="s">
        <v>680</v>
      </c>
      <c r="G44" s="10" t="s">
        <v>132</v>
      </c>
      <c r="H44" s="10"/>
      <c r="I44" s="12" t="s">
        <v>681</v>
      </c>
      <c r="J44" s="10" t="s">
        <v>57</v>
      </c>
      <c r="K44" s="10" t="s">
        <v>30</v>
      </c>
      <c r="L44" s="10" t="s">
        <v>150</v>
      </c>
      <c r="M44" s="10" t="s">
        <v>45</v>
      </c>
      <c r="N44" s="10"/>
      <c r="O44" s="10" t="s">
        <v>97</v>
      </c>
      <c r="P44" s="10" t="s">
        <v>151</v>
      </c>
      <c r="Q44" s="10" t="s">
        <v>682</v>
      </c>
      <c r="R44" s="10" t="s">
        <v>683</v>
      </c>
      <c r="S44" s="10"/>
      <c r="T44" s="10"/>
      <c r="W44" s="62"/>
      <c r="X44" s="62"/>
      <c r="Y44" s="62"/>
      <c r="Z44" s="62"/>
      <c r="AA44" s="62"/>
    </row>
    <row r="45" ht="16.5" customHeight="1">
      <c r="A45" s="10" t="s">
        <v>684</v>
      </c>
      <c r="B45" s="10" t="s">
        <v>174</v>
      </c>
      <c r="C45" s="10" t="s">
        <v>472</v>
      </c>
      <c r="D45" s="10" t="s">
        <v>685</v>
      </c>
      <c r="E45" s="10" t="s">
        <v>578</v>
      </c>
      <c r="F45" s="10" t="s">
        <v>686</v>
      </c>
      <c r="G45" s="10" t="s">
        <v>177</v>
      </c>
      <c r="H45" s="10"/>
      <c r="I45" s="12" t="s">
        <v>687</v>
      </c>
      <c r="J45" s="10" t="s">
        <v>30</v>
      </c>
      <c r="K45" s="10" t="s">
        <v>30</v>
      </c>
      <c r="L45" s="10" t="s">
        <v>150</v>
      </c>
      <c r="M45" s="10" t="s">
        <v>96</v>
      </c>
      <c r="N45" s="10"/>
      <c r="O45" s="10" t="s">
        <v>97</v>
      </c>
      <c r="P45" s="10" t="s">
        <v>151</v>
      </c>
      <c r="Q45" s="10" t="s">
        <v>688</v>
      </c>
      <c r="R45" s="10" t="s">
        <v>689</v>
      </c>
      <c r="S45" s="10" t="s">
        <v>182</v>
      </c>
      <c r="T45" s="61">
        <v>46137.0</v>
      </c>
      <c r="U45" s="62" t="s">
        <v>37</v>
      </c>
      <c r="V45" s="62">
        <v>1.0</v>
      </c>
      <c r="W45" s="62"/>
      <c r="X45" s="62"/>
      <c r="Y45" s="62"/>
      <c r="Z45" s="62"/>
      <c r="AA45" s="62"/>
    </row>
    <row r="46" ht="16.5" customHeight="1">
      <c r="A46" s="10" t="s">
        <v>690</v>
      </c>
      <c r="B46" s="10" t="s">
        <v>174</v>
      </c>
      <c r="C46" s="10" t="s">
        <v>472</v>
      </c>
      <c r="D46" s="10" t="s">
        <v>685</v>
      </c>
      <c r="E46" s="10" t="s">
        <v>578</v>
      </c>
      <c r="F46" s="10" t="s">
        <v>691</v>
      </c>
      <c r="G46" s="10" t="s">
        <v>177</v>
      </c>
      <c r="H46" s="10"/>
      <c r="I46" s="12" t="s">
        <v>692</v>
      </c>
      <c r="J46" s="10" t="s">
        <v>30</v>
      </c>
      <c r="K46" s="10" t="s">
        <v>30</v>
      </c>
      <c r="L46" s="10" t="s">
        <v>150</v>
      </c>
      <c r="M46" s="10" t="s">
        <v>96</v>
      </c>
      <c r="N46" s="10"/>
      <c r="O46" s="10" t="s">
        <v>97</v>
      </c>
      <c r="P46" s="10" t="s">
        <v>151</v>
      </c>
      <c r="Q46" s="10" t="s">
        <v>688</v>
      </c>
      <c r="R46" s="10" t="s">
        <v>693</v>
      </c>
      <c r="S46" s="10" t="s">
        <v>182</v>
      </c>
      <c r="T46" s="61">
        <v>46137.0</v>
      </c>
      <c r="U46" s="62" t="s">
        <v>37</v>
      </c>
      <c r="V46" s="62">
        <v>1.0</v>
      </c>
      <c r="W46" s="62"/>
      <c r="X46" s="62"/>
      <c r="Y46" s="62"/>
      <c r="Z46" s="62"/>
      <c r="AA46" s="62"/>
    </row>
    <row r="47" ht="16.5" customHeight="1">
      <c r="A47" s="10" t="s">
        <v>694</v>
      </c>
      <c r="B47" s="10" t="s">
        <v>174</v>
      </c>
      <c r="C47" s="10" t="s">
        <v>472</v>
      </c>
      <c r="D47" s="10" t="s">
        <v>627</v>
      </c>
      <c r="E47" s="10" t="s">
        <v>627</v>
      </c>
      <c r="F47" s="10" t="s">
        <v>695</v>
      </c>
      <c r="G47" s="10" t="s">
        <v>177</v>
      </c>
      <c r="H47" s="10"/>
      <c r="I47" s="12" t="s">
        <v>696</v>
      </c>
      <c r="J47" s="69" t="s">
        <v>30</v>
      </c>
      <c r="K47" s="10" t="s">
        <v>30</v>
      </c>
      <c r="L47" s="10" t="s">
        <v>30</v>
      </c>
      <c r="M47" s="10" t="s">
        <v>45</v>
      </c>
      <c r="N47" s="10"/>
      <c r="O47" s="10" t="s">
        <v>300</v>
      </c>
      <c r="P47" s="10" t="s">
        <v>151</v>
      </c>
      <c r="Q47" s="10"/>
      <c r="R47" s="10" t="s">
        <v>697</v>
      </c>
      <c r="S47" s="10" t="s">
        <v>182</v>
      </c>
      <c r="T47" s="61">
        <v>46137.0</v>
      </c>
      <c r="U47" s="62" t="s">
        <v>37</v>
      </c>
      <c r="V47" s="62">
        <v>1.0</v>
      </c>
      <c r="W47" s="62"/>
      <c r="X47" s="62"/>
      <c r="Y47" s="62"/>
      <c r="Z47" s="62"/>
      <c r="AA47" s="62"/>
    </row>
    <row r="48" ht="16.5" customHeight="1">
      <c r="A48" s="10" t="s">
        <v>698</v>
      </c>
      <c r="B48" s="10" t="s">
        <v>174</v>
      </c>
      <c r="C48" s="10" t="s">
        <v>472</v>
      </c>
      <c r="D48" s="10" t="s">
        <v>627</v>
      </c>
      <c r="E48" s="10" t="s">
        <v>627</v>
      </c>
      <c r="F48" s="10" t="s">
        <v>699</v>
      </c>
      <c r="G48" s="10" t="s">
        <v>177</v>
      </c>
      <c r="H48" s="68">
        <v>45505.0</v>
      </c>
      <c r="I48" s="12" t="s">
        <v>700</v>
      </c>
      <c r="J48" s="69" t="s">
        <v>30</v>
      </c>
      <c r="K48" s="10" t="s">
        <v>30</v>
      </c>
      <c r="L48" s="10" t="s">
        <v>30</v>
      </c>
      <c r="M48" s="10" t="s">
        <v>45</v>
      </c>
      <c r="N48" s="10"/>
      <c r="O48" s="10" t="s">
        <v>300</v>
      </c>
      <c r="P48" s="10" t="s">
        <v>151</v>
      </c>
      <c r="Q48" s="10"/>
      <c r="R48" s="10" t="s">
        <v>697</v>
      </c>
      <c r="S48" s="10" t="s">
        <v>182</v>
      </c>
      <c r="T48" s="61">
        <v>46137.0</v>
      </c>
      <c r="U48" s="62" t="s">
        <v>37</v>
      </c>
      <c r="V48" s="62">
        <v>1.0</v>
      </c>
      <c r="W48" s="62"/>
      <c r="X48" s="62"/>
      <c r="Y48" s="62"/>
      <c r="Z48" s="62"/>
      <c r="AA48" s="62"/>
    </row>
    <row r="49" ht="16.5" customHeight="1">
      <c r="A49" s="10" t="s">
        <v>701</v>
      </c>
      <c r="B49" s="10" t="s">
        <v>174</v>
      </c>
      <c r="C49" s="10" t="s">
        <v>472</v>
      </c>
      <c r="D49" s="10" t="s">
        <v>627</v>
      </c>
      <c r="E49" s="10" t="s">
        <v>627</v>
      </c>
      <c r="F49" s="10" t="s">
        <v>702</v>
      </c>
      <c r="G49" s="10" t="s">
        <v>177</v>
      </c>
      <c r="H49" s="68">
        <v>45901.0</v>
      </c>
      <c r="I49" s="12" t="s">
        <v>703</v>
      </c>
      <c r="J49" s="69" t="s">
        <v>30</v>
      </c>
      <c r="K49" s="10" t="s">
        <v>30</v>
      </c>
      <c r="L49" s="10" t="s">
        <v>30</v>
      </c>
      <c r="M49" s="10" t="s">
        <v>45</v>
      </c>
      <c r="N49" s="10"/>
      <c r="O49" s="10" t="s">
        <v>300</v>
      </c>
      <c r="P49" s="10" t="s">
        <v>151</v>
      </c>
      <c r="Q49" s="10"/>
      <c r="R49" s="10" t="s">
        <v>697</v>
      </c>
      <c r="S49" s="10" t="s">
        <v>182</v>
      </c>
      <c r="T49" s="61">
        <v>46137.0</v>
      </c>
      <c r="U49" s="62" t="s">
        <v>37</v>
      </c>
      <c r="V49" s="62">
        <v>1.0</v>
      </c>
      <c r="W49" s="62"/>
      <c r="X49" s="62"/>
      <c r="Y49" s="62"/>
      <c r="Z49" s="62"/>
      <c r="AA49" s="62"/>
    </row>
    <row r="50" ht="16.5" customHeight="1">
      <c r="A50" s="10" t="s">
        <v>704</v>
      </c>
      <c r="B50" s="10" t="s">
        <v>174</v>
      </c>
      <c r="C50" s="10" t="s">
        <v>472</v>
      </c>
      <c r="D50" s="10" t="s">
        <v>523</v>
      </c>
      <c r="E50" s="10" t="s">
        <v>523</v>
      </c>
      <c r="F50" s="10" t="s">
        <v>705</v>
      </c>
      <c r="G50" s="10" t="s">
        <v>177</v>
      </c>
      <c r="H50" s="10"/>
      <c r="I50" s="12" t="s">
        <v>706</v>
      </c>
      <c r="J50" s="10" t="s">
        <v>30</v>
      </c>
      <c r="K50" s="10" t="s">
        <v>30</v>
      </c>
      <c r="L50" s="10" t="s">
        <v>30</v>
      </c>
      <c r="M50" s="10" t="s">
        <v>45</v>
      </c>
      <c r="N50" s="10"/>
      <c r="O50" s="10" t="s">
        <v>300</v>
      </c>
      <c r="P50" s="10" t="s">
        <v>151</v>
      </c>
      <c r="Q50" s="10"/>
      <c r="R50" s="10" t="s">
        <v>707</v>
      </c>
      <c r="S50" s="10" t="s">
        <v>182</v>
      </c>
      <c r="T50" s="61">
        <v>46138.0</v>
      </c>
      <c r="U50" s="62"/>
      <c r="V50" s="62">
        <v>1.0</v>
      </c>
      <c r="W50" s="62"/>
      <c r="X50" s="62"/>
      <c r="Y50" s="62"/>
      <c r="Z50" s="62"/>
      <c r="AA50" s="62"/>
    </row>
    <row r="51" ht="16.5" customHeight="1">
      <c r="A51" s="10" t="s">
        <v>708</v>
      </c>
      <c r="B51" s="10" t="s">
        <v>174</v>
      </c>
      <c r="C51" s="10" t="s">
        <v>472</v>
      </c>
      <c r="D51" s="10" t="s">
        <v>627</v>
      </c>
      <c r="E51" s="10" t="s">
        <v>627</v>
      </c>
      <c r="F51" s="10" t="s">
        <v>709</v>
      </c>
      <c r="G51" s="10" t="s">
        <v>177</v>
      </c>
      <c r="H51" s="70">
        <v>45870.0</v>
      </c>
      <c r="I51" s="66" t="s">
        <v>710</v>
      </c>
      <c r="J51" s="10" t="s">
        <v>30</v>
      </c>
      <c r="K51" s="10" t="s">
        <v>30</v>
      </c>
      <c r="L51" s="10" t="s">
        <v>30</v>
      </c>
      <c r="M51" s="10" t="s">
        <v>96</v>
      </c>
      <c r="N51" s="10"/>
      <c r="O51" s="10" t="s">
        <v>300</v>
      </c>
      <c r="P51" s="10" t="s">
        <v>151</v>
      </c>
      <c r="Q51" s="62"/>
      <c r="R51" s="62" t="s">
        <v>711</v>
      </c>
      <c r="U51" s="62"/>
      <c r="V51" s="62">
        <v>1.0</v>
      </c>
      <c r="W51" s="62"/>
      <c r="X51" s="62"/>
      <c r="Y51" s="62"/>
      <c r="Z51" s="62"/>
      <c r="AA51" s="62"/>
    </row>
    <row r="52" ht="16.5" customHeight="1">
      <c r="A52" s="10" t="s">
        <v>712</v>
      </c>
      <c r="B52" s="10" t="s">
        <v>174</v>
      </c>
      <c r="C52" s="10" t="s">
        <v>472</v>
      </c>
      <c r="D52" s="10" t="s">
        <v>627</v>
      </c>
      <c r="E52" s="10" t="s">
        <v>627</v>
      </c>
      <c r="F52" s="10" t="s">
        <v>713</v>
      </c>
      <c r="G52" s="10" t="s">
        <v>177</v>
      </c>
      <c r="H52" s="70">
        <v>45497.0</v>
      </c>
      <c r="I52" s="66" t="s">
        <v>714</v>
      </c>
      <c r="J52" s="10" t="s">
        <v>30</v>
      </c>
      <c r="K52" s="10" t="s">
        <v>30</v>
      </c>
      <c r="L52" s="10" t="s">
        <v>30</v>
      </c>
      <c r="M52" s="10" t="s">
        <v>96</v>
      </c>
      <c r="N52" s="10"/>
      <c r="O52" s="10" t="s">
        <v>300</v>
      </c>
      <c r="P52" s="10" t="s">
        <v>151</v>
      </c>
      <c r="Q52" s="62"/>
      <c r="R52" s="62" t="s">
        <v>711</v>
      </c>
      <c r="U52" s="62"/>
      <c r="V52" s="62">
        <v>1.0</v>
      </c>
      <c r="W52" s="62"/>
      <c r="X52" s="62"/>
      <c r="Y52" s="62"/>
      <c r="Z52" s="62"/>
      <c r="AA52" s="62"/>
    </row>
    <row r="53" ht="16.5" customHeight="1">
      <c r="A53" s="10"/>
      <c r="S53" s="62"/>
      <c r="T53" s="62"/>
      <c r="U53" s="62"/>
      <c r="V53" s="62"/>
      <c r="W53" s="62"/>
      <c r="X53" s="62"/>
      <c r="Y53" s="62"/>
      <c r="Z53" s="62"/>
      <c r="AA53" s="62"/>
    </row>
    <row r="54" ht="16.5" customHeight="1">
      <c r="A54" s="10"/>
      <c r="S54" s="62"/>
      <c r="T54" s="62"/>
      <c r="U54" s="62"/>
      <c r="V54" s="62"/>
      <c r="W54" s="62"/>
      <c r="X54" s="62"/>
      <c r="Y54" s="62"/>
      <c r="Z54" s="62"/>
      <c r="AA54" s="62"/>
    </row>
    <row r="55" ht="16.5" customHeight="1">
      <c r="A55" s="10"/>
      <c r="S55" s="62"/>
      <c r="T55" s="62"/>
      <c r="U55" s="62"/>
      <c r="V55" s="62"/>
      <c r="W55" s="62"/>
      <c r="X55" s="62"/>
      <c r="Y55" s="62"/>
      <c r="Z55" s="62"/>
      <c r="AA55" s="62"/>
    </row>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row r="1002" ht="16.5" customHeight="1"/>
    <row r="1003" ht="16.5" customHeight="1"/>
    <row r="1004" ht="16.5" customHeight="1"/>
    <row r="1005" ht="16.5" customHeight="1"/>
    <row r="1006" ht="16.5" customHeight="1"/>
    <row r="1007" ht="16.5" customHeight="1"/>
    <row r="1008" ht="16.5" customHeight="1"/>
    <row r="1009" ht="16.5" customHeight="1"/>
  </sheetData>
  <dataValidations>
    <dataValidation type="list" allowBlank="1" sqref="J5:J52">
      <formula1>"Prohibitive,Cautious,Functional,Encouraging,Silent,Not specified"</formula1>
    </dataValidation>
    <dataValidation type="list" allowBlank="1" sqref="P5:P52">
      <formula1>"Students only,Faculty only,Both,Researchers,All community"</formula1>
    </dataValidation>
    <dataValidation type="list" allowBlank="1" sqref="L5:L52">
      <formula1>"Gov-mandated,Faculty/Inst. decides,Instructor decides,Hybrid/Mixed,Not specified"</formula1>
    </dataValidation>
    <dataValidation type="list" allowBlank="1" sqref="K5:K52">
      <formula1>"Required,Conditional,Recommended,Not specified"</formula1>
    </dataValidation>
    <dataValidation type="list" allowBlank="1" sqref="G5:G52">
      <formula1>"Law/Regulation,Executive Order,Official Guidance,University Policy,Library Guide,Syllabus,FAQ/Resource Page,Syllabus Library,Other"</formula1>
    </dataValidation>
    <dataValidation type="list" allowBlank="1" sqref="O5:O52">
      <formula1>"Explicit penalties,Referenced to integrity code,Guidance only,None stated"</formula1>
    </dataValidation>
    <dataValidation type="list" allowBlank="1" sqref="M5:N52">
      <formula1>"Academic Integrity,AI Literacy,Pedagogy/Learning,Professional Readiness,Privacy/Data/Ethics,Equity"</formula1>
    </dataValidation>
    <dataValidation type="list" allowBlank="1" sqref="B5:B52">
      <formula1>"National/Federal,State/Territory,Institutional,Faculty/School,Course-wide"</formula1>
    </dataValidation>
    <dataValidation type="list" allowBlank="1" sqref="C5:C52">
      <formula1>"NYC,Hong Kong"</formula1>
    </dataValidation>
  </dataValidations>
  <hyperlinks>
    <hyperlink r:id="rId2" ref="I5"/>
    <hyperlink r:id="rId3" ref="I6"/>
    <hyperlink r:id="rId4" ref="I7"/>
    <hyperlink r:id="rId5" ref="I8"/>
    <hyperlink r:id="rId6" ref="I9"/>
    <hyperlink r:id="rId7" ref="I10"/>
    <hyperlink r:id="rId8" ref="D11"/>
    <hyperlink r:id="rId9" ref="I11"/>
    <hyperlink r:id="rId10" ref="I12"/>
    <hyperlink r:id="rId11" ref="I13"/>
    <hyperlink r:id="rId12" ref="I14"/>
    <hyperlink r:id="rId13" ref="I15"/>
    <hyperlink r:id="rId14" ref="I16"/>
    <hyperlink r:id="rId15" ref="I17"/>
    <hyperlink r:id="rId16" ref="I18"/>
    <hyperlink r:id="rId17" ref="I19"/>
    <hyperlink r:id="rId18" ref="I20"/>
    <hyperlink r:id="rId19" ref="I21"/>
    <hyperlink r:id="rId20" ref="I22"/>
    <hyperlink r:id="rId21" ref="I23"/>
    <hyperlink r:id="rId22" ref="I24"/>
    <hyperlink r:id="rId23" ref="I25"/>
    <hyperlink r:id="rId24" ref="I26"/>
    <hyperlink r:id="rId25" ref="I27"/>
    <hyperlink r:id="rId26" ref="I28"/>
    <hyperlink r:id="rId27" ref="I29"/>
    <hyperlink r:id="rId28" ref="I30"/>
    <hyperlink r:id="rId29" ref="I31"/>
    <hyperlink r:id="rId30" ref="I32"/>
    <hyperlink r:id="rId31" ref="I33"/>
    <hyperlink r:id="rId32" ref="I34"/>
    <hyperlink r:id="rId33" ref="I35"/>
    <hyperlink r:id="rId34" ref="I36"/>
    <hyperlink r:id="rId35" ref="I37"/>
    <hyperlink r:id="rId36" ref="I38"/>
    <hyperlink r:id="rId37" ref="I39"/>
    <hyperlink r:id="rId38" ref="I40"/>
    <hyperlink r:id="rId39" ref="I41"/>
    <hyperlink r:id="rId40" ref="I42"/>
    <hyperlink r:id="rId41" ref="I43"/>
    <hyperlink r:id="rId42" ref="I44"/>
    <hyperlink r:id="rId43" ref="I45"/>
    <hyperlink r:id="rId44" ref="I46"/>
    <hyperlink r:id="rId45" ref="I47"/>
    <hyperlink r:id="rId46" ref="I48"/>
    <hyperlink r:id="rId47" ref="I49"/>
    <hyperlink r:id="rId48" ref="I50"/>
    <hyperlink r:id="rId49" ref="I51"/>
    <hyperlink r:id="rId50" ref="I52"/>
  </hyperlinks>
  <printOptions/>
  <pageMargins bottom="1.0" footer="0.0" header="0.0" left="0.75" right="0.75" top="1.0"/>
  <pageSetup paperSize="9" orientation="portrait"/>
  <drawing r:id="rId51"/>
  <legacyDrawing r:id="rId5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2.0"/>
    <col customWidth="1" min="2" max="2" width="16.0"/>
    <col customWidth="1" min="3" max="3" width="12.0"/>
    <col customWidth="1" min="4" max="4" width="24.0"/>
    <col customWidth="1" min="5" max="5" width="11.29"/>
    <col customWidth="1" min="6" max="6" width="32.0"/>
    <col customWidth="1" min="7" max="7" width="18.0"/>
    <col customWidth="1" min="8" max="8" width="13.0"/>
    <col customWidth="1" min="9" max="9" width="28.0"/>
    <col customWidth="1" min="10" max="10" width="14.0"/>
    <col customWidth="1" min="11" max="11" width="15.0"/>
    <col customWidth="1" min="12" max="12" width="20.0"/>
    <col customWidth="1" min="13" max="14" width="18.0"/>
    <col customWidth="1" min="15" max="15" width="22.0"/>
    <col customWidth="1" min="16" max="16" width="20.0"/>
    <col customWidth="1" min="17" max="17" width="45.0"/>
    <col customWidth="1" min="18" max="18" width="28.0"/>
    <col customWidth="1" min="19" max="19" width="12.0"/>
    <col customWidth="1" min="20" max="20" width="13.0"/>
    <col customWidth="1" min="21" max="21" width="30.29"/>
    <col customWidth="1" min="22" max="27" width="8.71"/>
  </cols>
  <sheetData>
    <row r="1" ht="16.5" customHeight="1">
      <c r="A1" s="1" t="s">
        <v>715</v>
      </c>
    </row>
    <row r="2" ht="16.5" customHeight="1">
      <c r="A2" s="2" t="s">
        <v>469</v>
      </c>
    </row>
    <row r="3" ht="16.5" customHeight="1">
      <c r="A3" s="3"/>
      <c r="B3" s="4"/>
      <c r="C3" s="4"/>
      <c r="D3" s="4"/>
      <c r="E3" s="4"/>
      <c r="F3" s="4"/>
      <c r="G3" s="4"/>
      <c r="H3" s="4"/>
      <c r="I3" s="4"/>
      <c r="J3" s="4"/>
      <c r="K3" s="4"/>
      <c r="L3" s="4"/>
      <c r="M3" s="4"/>
      <c r="N3" s="4"/>
      <c r="O3" s="4"/>
      <c r="P3" s="4"/>
      <c r="Q3" s="4"/>
      <c r="R3" s="4"/>
      <c r="S3" s="4"/>
      <c r="T3" s="4"/>
      <c r="U3" s="5"/>
    </row>
    <row r="4" ht="37.5" customHeight="1">
      <c r="A4" s="6" t="s">
        <v>1</v>
      </c>
      <c r="B4" s="7" t="s">
        <v>2</v>
      </c>
      <c r="C4" s="7" t="s">
        <v>3</v>
      </c>
      <c r="D4" s="7" t="s">
        <v>4</v>
      </c>
      <c r="E4" s="7" t="s">
        <v>5</v>
      </c>
      <c r="F4" s="7" t="s">
        <v>6</v>
      </c>
      <c r="G4" s="7" t="s">
        <v>7</v>
      </c>
      <c r="H4" s="7" t="s">
        <v>8</v>
      </c>
      <c r="I4" s="7" t="s">
        <v>9</v>
      </c>
      <c r="J4" s="7" t="s">
        <v>10</v>
      </c>
      <c r="K4" s="7" t="s">
        <v>11</v>
      </c>
      <c r="L4" s="7" t="s">
        <v>12</v>
      </c>
      <c r="M4" s="7" t="s">
        <v>13</v>
      </c>
      <c r="N4" s="7" t="s">
        <v>14</v>
      </c>
      <c r="O4" s="7" t="s">
        <v>15</v>
      </c>
      <c r="P4" s="7" t="s">
        <v>16</v>
      </c>
      <c r="Q4" s="7" t="s">
        <v>17</v>
      </c>
      <c r="R4" s="7" t="s">
        <v>18</v>
      </c>
      <c r="S4" s="7" t="s">
        <v>19</v>
      </c>
      <c r="T4" s="7" t="s">
        <v>20</v>
      </c>
      <c r="U4" s="22" t="s">
        <v>267</v>
      </c>
    </row>
    <row r="5" ht="16.5" customHeight="1">
      <c r="A5" s="23" t="s">
        <v>471</v>
      </c>
      <c r="B5" s="24" t="s">
        <v>23</v>
      </c>
      <c r="C5" s="24" t="s">
        <v>472</v>
      </c>
      <c r="D5" s="24"/>
      <c r="E5" s="24"/>
      <c r="F5" s="24" t="s">
        <v>716</v>
      </c>
      <c r="G5" s="24" t="s">
        <v>27</v>
      </c>
      <c r="H5" s="25">
        <v>46113.0</v>
      </c>
      <c r="I5" s="26" t="s">
        <v>717</v>
      </c>
      <c r="J5" s="24" t="s">
        <v>42</v>
      </c>
      <c r="K5" s="24" t="s">
        <v>30</v>
      </c>
      <c r="L5" s="24" t="s">
        <v>31</v>
      </c>
      <c r="M5" s="24" t="s">
        <v>33</v>
      </c>
      <c r="N5" s="24" t="s">
        <v>44</v>
      </c>
      <c r="O5" s="24" t="s">
        <v>34</v>
      </c>
      <c r="P5" s="24" t="s">
        <v>271</v>
      </c>
      <c r="Q5" s="24" t="s">
        <v>718</v>
      </c>
      <c r="R5" s="24" t="s">
        <v>719</v>
      </c>
      <c r="S5" s="24" t="s">
        <v>182</v>
      </c>
      <c r="T5" s="28"/>
      <c r="U5" s="29"/>
      <c r="V5" s="29" t="str">
        <f t="array" ref="V5">XLOOKUP($I5,TEST_HK_Coding!$I$5:$I$52,TEST_HK_Coding!$A$5:$A$52,"")</f>
        <v/>
      </c>
      <c r="W5" s="29"/>
      <c r="X5" s="29"/>
      <c r="Y5" s="29"/>
      <c r="Z5" s="29"/>
      <c r="AA5" s="29"/>
    </row>
    <row r="6" ht="16.5" customHeight="1">
      <c r="A6" s="23" t="s">
        <v>478</v>
      </c>
      <c r="B6" s="24" t="s">
        <v>23</v>
      </c>
      <c r="C6" s="24" t="s">
        <v>472</v>
      </c>
      <c r="D6" s="24"/>
      <c r="E6" s="24"/>
      <c r="F6" s="24" t="s">
        <v>720</v>
      </c>
      <c r="G6" s="24" t="s">
        <v>27</v>
      </c>
      <c r="H6" s="25">
        <v>46022.0</v>
      </c>
      <c r="I6" s="26" t="s">
        <v>721</v>
      </c>
      <c r="J6" s="24" t="s">
        <v>42</v>
      </c>
      <c r="K6" s="24" t="s">
        <v>30</v>
      </c>
      <c r="L6" s="24" t="s">
        <v>31</v>
      </c>
      <c r="M6" s="24" t="s">
        <v>33</v>
      </c>
      <c r="N6" s="24"/>
      <c r="O6" s="24" t="s">
        <v>34</v>
      </c>
      <c r="P6" s="24" t="s">
        <v>271</v>
      </c>
      <c r="Q6" s="24" t="s">
        <v>722</v>
      </c>
      <c r="R6" s="24" t="s">
        <v>723</v>
      </c>
      <c r="S6" s="24" t="s">
        <v>182</v>
      </c>
      <c r="T6" s="28"/>
      <c r="U6" s="29"/>
      <c r="V6" s="29" t="str">
        <f t="array" ref="V6">XLOOKUP($I6,TEST_HK_Coding!$I$5:$I$52,TEST_HK_Coding!$A$5:$A$52,"")</f>
        <v/>
      </c>
      <c r="W6" s="29"/>
      <c r="X6" s="29"/>
      <c r="Y6" s="29"/>
      <c r="Z6" s="29"/>
      <c r="AA6" s="29"/>
    </row>
    <row r="7" ht="16.5" customHeight="1">
      <c r="A7" s="23" t="s">
        <v>484</v>
      </c>
      <c r="B7" s="24" t="s">
        <v>23</v>
      </c>
      <c r="C7" s="24" t="s">
        <v>472</v>
      </c>
      <c r="D7" s="24"/>
      <c r="E7" s="24"/>
      <c r="F7" s="24" t="s">
        <v>724</v>
      </c>
      <c r="G7" s="24" t="s">
        <v>27</v>
      </c>
      <c r="H7" s="25">
        <v>46122.0</v>
      </c>
      <c r="I7" s="26" t="s">
        <v>725</v>
      </c>
      <c r="J7" s="24" t="s">
        <v>42</v>
      </c>
      <c r="K7" s="24" t="s">
        <v>30</v>
      </c>
      <c r="L7" s="24" t="s">
        <v>31</v>
      </c>
      <c r="M7" s="24" t="s">
        <v>33</v>
      </c>
      <c r="N7" s="24" t="s">
        <v>45</v>
      </c>
      <c r="O7" s="24" t="s">
        <v>34</v>
      </c>
      <c r="P7" s="24" t="s">
        <v>271</v>
      </c>
      <c r="Q7" s="24" t="s">
        <v>726</v>
      </c>
      <c r="R7" s="24" t="s">
        <v>727</v>
      </c>
      <c r="S7" s="24" t="s">
        <v>182</v>
      </c>
      <c r="T7" s="28"/>
      <c r="U7" s="29"/>
      <c r="V7" s="29" t="str">
        <f t="array" ref="V7">XLOOKUP($I7,TEST_HK_Coding!$I$5:$I$52,TEST_HK_Coding!$A$5:$A$52,"")</f>
        <v/>
      </c>
      <c r="W7" s="29"/>
      <c r="X7" s="29"/>
      <c r="Y7" s="29"/>
      <c r="Z7" s="29"/>
      <c r="AA7" s="29"/>
    </row>
    <row r="8" ht="16.5" customHeight="1">
      <c r="A8" s="71" t="s">
        <v>490</v>
      </c>
      <c r="B8" s="24" t="s">
        <v>23</v>
      </c>
      <c r="C8" s="24" t="s">
        <v>472</v>
      </c>
      <c r="D8" s="24"/>
      <c r="E8" s="24"/>
      <c r="F8" s="24" t="s">
        <v>728</v>
      </c>
      <c r="G8" s="24" t="s">
        <v>27</v>
      </c>
      <c r="H8" s="25">
        <v>45120.0</v>
      </c>
      <c r="I8" s="26" t="s">
        <v>481</v>
      </c>
      <c r="J8" s="24" t="s">
        <v>42</v>
      </c>
      <c r="K8" s="24" t="s">
        <v>30</v>
      </c>
      <c r="L8" s="24" t="s">
        <v>31</v>
      </c>
      <c r="M8" s="24" t="s">
        <v>44</v>
      </c>
      <c r="N8" s="24" t="s">
        <v>45</v>
      </c>
      <c r="O8" s="24" t="s">
        <v>34</v>
      </c>
      <c r="P8" s="24" t="s">
        <v>271</v>
      </c>
      <c r="Q8" s="24" t="s">
        <v>729</v>
      </c>
      <c r="R8" s="24" t="s">
        <v>730</v>
      </c>
      <c r="S8" s="24" t="s">
        <v>182</v>
      </c>
      <c r="T8" s="28"/>
      <c r="U8" s="29"/>
      <c r="V8" s="29" t="str">
        <f t="array" ref="V8">XLOOKUP($I8,TEST_HK_Coding!$I$5:$I$52,TEST_HK_Coding!$A$5:$A$52,"")</f>
        <v>HK-002</v>
      </c>
      <c r="W8" s="29"/>
      <c r="X8" s="29"/>
      <c r="Y8" s="29"/>
      <c r="Z8" s="29"/>
      <c r="AA8" s="29"/>
    </row>
    <row r="9" ht="16.5" customHeight="1">
      <c r="A9" s="23" t="s">
        <v>494</v>
      </c>
      <c r="B9" s="24" t="s">
        <v>23</v>
      </c>
      <c r="C9" s="24" t="s">
        <v>472</v>
      </c>
      <c r="D9" s="24"/>
      <c r="E9" s="24"/>
      <c r="F9" s="24" t="s">
        <v>731</v>
      </c>
      <c r="G9" s="24" t="s">
        <v>27</v>
      </c>
      <c r="H9" s="25">
        <v>45864.0</v>
      </c>
      <c r="I9" s="26" t="s">
        <v>732</v>
      </c>
      <c r="J9" s="24" t="s">
        <v>42</v>
      </c>
      <c r="K9" s="24" t="s">
        <v>30</v>
      </c>
      <c r="L9" s="24" t="s">
        <v>31</v>
      </c>
      <c r="M9" s="24" t="s">
        <v>32</v>
      </c>
      <c r="N9" s="24" t="s">
        <v>59</v>
      </c>
      <c r="O9" s="24" t="s">
        <v>34</v>
      </c>
      <c r="P9" s="24" t="s">
        <v>271</v>
      </c>
      <c r="Q9" s="24" t="s">
        <v>733</v>
      </c>
      <c r="R9" s="24" t="s">
        <v>734</v>
      </c>
      <c r="S9" s="24" t="s">
        <v>182</v>
      </c>
      <c r="T9" s="28"/>
      <c r="U9" s="29"/>
      <c r="V9" s="29" t="str">
        <f t="array" ref="V9">XLOOKUP($I9,TEST_HK_Coding!$I$5:$I$52,TEST_HK_Coding!$A$5:$A$52,"")</f>
        <v/>
      </c>
      <c r="W9" s="29"/>
      <c r="X9" s="29"/>
      <c r="Y9" s="29"/>
      <c r="Z9" s="29"/>
      <c r="AA9" s="29"/>
    </row>
    <row r="10" ht="16.5" customHeight="1">
      <c r="A10" s="72" t="s">
        <v>499</v>
      </c>
      <c r="B10" s="73" t="s">
        <v>286</v>
      </c>
      <c r="C10" s="73" t="s">
        <v>472</v>
      </c>
      <c r="D10" s="73"/>
      <c r="E10" s="73"/>
      <c r="F10" s="73" t="s">
        <v>735</v>
      </c>
      <c r="G10" s="73" t="s">
        <v>51</v>
      </c>
      <c r="H10" s="74">
        <v>45917.0</v>
      </c>
      <c r="I10" s="75" t="s">
        <v>736</v>
      </c>
      <c r="J10" s="73" t="s">
        <v>42</v>
      </c>
      <c r="K10" s="73" t="s">
        <v>30</v>
      </c>
      <c r="L10" s="73" t="s">
        <v>31</v>
      </c>
      <c r="M10" s="73" t="s">
        <v>44</v>
      </c>
      <c r="N10" s="73" t="s">
        <v>45</v>
      </c>
      <c r="O10" s="73" t="s">
        <v>34</v>
      </c>
      <c r="P10" s="73" t="s">
        <v>271</v>
      </c>
      <c r="Q10" s="73" t="s">
        <v>737</v>
      </c>
      <c r="R10" s="73" t="s">
        <v>738</v>
      </c>
      <c r="S10" s="73"/>
      <c r="T10" s="76"/>
      <c r="U10" s="77"/>
      <c r="V10" s="29" t="str">
        <f t="array" ref="V10">XLOOKUP($I10,TEST_HK_Coding!$I$5:$I$52,TEST_HK_Coding!$A$5:$A$52,"")</f>
        <v/>
      </c>
      <c r="W10" s="77"/>
      <c r="X10" s="77"/>
      <c r="Y10" s="77"/>
      <c r="Z10" s="77"/>
      <c r="AA10" s="77"/>
    </row>
    <row r="11" ht="16.5" customHeight="1">
      <c r="A11" s="72" t="s">
        <v>505</v>
      </c>
      <c r="B11" s="73" t="s">
        <v>286</v>
      </c>
      <c r="C11" s="73" t="s">
        <v>472</v>
      </c>
      <c r="D11" s="73"/>
      <c r="E11" s="73"/>
      <c r="F11" s="73" t="s">
        <v>739</v>
      </c>
      <c r="G11" s="73" t="s">
        <v>51</v>
      </c>
      <c r="H11" s="74">
        <v>45597.0</v>
      </c>
      <c r="I11" s="75" t="s">
        <v>740</v>
      </c>
      <c r="J11" s="73" t="s">
        <v>42</v>
      </c>
      <c r="K11" s="73" t="s">
        <v>30</v>
      </c>
      <c r="L11" s="73" t="s">
        <v>31</v>
      </c>
      <c r="M11" s="73" t="s">
        <v>44</v>
      </c>
      <c r="N11" s="73" t="s">
        <v>45</v>
      </c>
      <c r="O11" s="73" t="s">
        <v>34</v>
      </c>
      <c r="P11" s="73" t="s">
        <v>271</v>
      </c>
      <c r="Q11" s="73" t="s">
        <v>741</v>
      </c>
      <c r="R11" s="73" t="s">
        <v>742</v>
      </c>
      <c r="S11" s="73"/>
      <c r="T11" s="76"/>
      <c r="U11" s="77"/>
      <c r="V11" s="29" t="str">
        <f t="array" ref="V11">XLOOKUP($I11,TEST_HK_Coding!$I$5:$I$52,TEST_HK_Coding!$A$5:$A$52,"")</f>
        <v/>
      </c>
      <c r="W11" s="77"/>
      <c r="X11" s="77"/>
      <c r="Y11" s="77"/>
      <c r="Z11" s="77"/>
      <c r="AA11" s="77"/>
    </row>
    <row r="12" ht="16.5" customHeight="1">
      <c r="A12" s="71" t="s">
        <v>510</v>
      </c>
      <c r="B12" s="73" t="s">
        <v>286</v>
      </c>
      <c r="C12" s="73" t="s">
        <v>472</v>
      </c>
      <c r="D12" s="73"/>
      <c r="E12" s="73"/>
      <c r="F12" s="73" t="s">
        <v>491</v>
      </c>
      <c r="G12" s="73" t="s">
        <v>27</v>
      </c>
      <c r="H12" s="74">
        <v>45992.0</v>
      </c>
      <c r="I12" s="75" t="s">
        <v>492</v>
      </c>
      <c r="J12" s="73" t="s">
        <v>42</v>
      </c>
      <c r="K12" s="73" t="s">
        <v>58</v>
      </c>
      <c r="L12" s="73" t="s">
        <v>31</v>
      </c>
      <c r="M12" s="73" t="s">
        <v>32</v>
      </c>
      <c r="N12" s="73" t="s">
        <v>59</v>
      </c>
      <c r="O12" s="73" t="s">
        <v>34</v>
      </c>
      <c r="P12" s="73" t="s">
        <v>271</v>
      </c>
      <c r="Q12" s="73" t="s">
        <v>743</v>
      </c>
      <c r="R12" s="73" t="s">
        <v>744</v>
      </c>
      <c r="S12" s="73"/>
      <c r="T12" s="76"/>
      <c r="U12" s="77"/>
      <c r="V12" s="29" t="str">
        <f t="array" ref="V12">XLOOKUP($I12,TEST_HK_Coding!$I$5:$I$52,TEST_HK_Coding!$A$5:$A$52,"")</f>
        <v>HK-004</v>
      </c>
      <c r="W12" s="77"/>
      <c r="X12" s="77"/>
      <c r="Y12" s="77"/>
      <c r="Z12" s="77"/>
      <c r="AA12" s="77"/>
    </row>
    <row r="13" ht="16.5" customHeight="1">
      <c r="A13" s="71" t="s">
        <v>515</v>
      </c>
      <c r="B13" s="73" t="s">
        <v>286</v>
      </c>
      <c r="C13" s="73" t="s">
        <v>472</v>
      </c>
      <c r="D13" s="73"/>
      <c r="E13" s="73"/>
      <c r="F13" s="73" t="s">
        <v>486</v>
      </c>
      <c r="G13" s="73" t="s">
        <v>27</v>
      </c>
      <c r="H13" s="74">
        <v>45992.0</v>
      </c>
      <c r="I13" s="75" t="s">
        <v>487</v>
      </c>
      <c r="J13" s="73" t="s">
        <v>42</v>
      </c>
      <c r="K13" s="73" t="s">
        <v>58</v>
      </c>
      <c r="L13" s="73" t="s">
        <v>31</v>
      </c>
      <c r="M13" s="73" t="s">
        <v>32</v>
      </c>
      <c r="N13" s="73" t="s">
        <v>59</v>
      </c>
      <c r="O13" s="73" t="s">
        <v>34</v>
      </c>
      <c r="P13" s="73" t="s">
        <v>271</v>
      </c>
      <c r="Q13" s="73" t="s">
        <v>745</v>
      </c>
      <c r="R13" s="73" t="s">
        <v>746</v>
      </c>
      <c r="S13" s="73"/>
      <c r="T13" s="76"/>
      <c r="U13" s="77"/>
      <c r="V13" s="29" t="str">
        <f t="array" ref="V13">XLOOKUP($I13,TEST_HK_Coding!$I$5:$I$52,TEST_HK_Coding!$A$5:$A$52,"")</f>
        <v>HK-003</v>
      </c>
      <c r="W13" s="77"/>
      <c r="X13" s="77"/>
      <c r="Y13" s="77"/>
      <c r="Z13" s="77"/>
      <c r="AA13" s="77"/>
    </row>
    <row r="14" ht="16.5" customHeight="1">
      <c r="A14" s="72" t="s">
        <v>521</v>
      </c>
      <c r="B14" s="73" t="s">
        <v>286</v>
      </c>
      <c r="C14" s="73" t="s">
        <v>472</v>
      </c>
      <c r="D14" s="73"/>
      <c r="E14" s="73"/>
      <c r="F14" s="73" t="s">
        <v>747</v>
      </c>
      <c r="G14" s="73" t="s">
        <v>27</v>
      </c>
      <c r="H14" s="74">
        <v>45978.0</v>
      </c>
      <c r="I14" s="75" t="s">
        <v>748</v>
      </c>
      <c r="J14" s="73" t="s">
        <v>42</v>
      </c>
      <c r="K14" s="73" t="s">
        <v>30</v>
      </c>
      <c r="L14" s="73" t="s">
        <v>31</v>
      </c>
      <c r="M14" s="73" t="s">
        <v>44</v>
      </c>
      <c r="N14" s="73" t="s">
        <v>45</v>
      </c>
      <c r="O14" s="73" t="s">
        <v>34</v>
      </c>
      <c r="P14" s="73" t="s">
        <v>271</v>
      </c>
      <c r="Q14" s="73" t="s">
        <v>749</v>
      </c>
      <c r="R14" s="73" t="s">
        <v>750</v>
      </c>
      <c r="S14" s="73" t="s">
        <v>182</v>
      </c>
      <c r="T14" s="76"/>
      <c r="U14" s="77"/>
      <c r="V14" s="29" t="str">
        <f t="array" ref="V14">XLOOKUP($I14,TEST_HK_Coding!$I$5:$I$52,TEST_HK_Coding!$A$5:$A$52,"")</f>
        <v/>
      </c>
      <c r="W14" s="77"/>
      <c r="X14" s="77"/>
      <c r="Y14" s="77"/>
      <c r="Z14" s="77"/>
      <c r="AA14" s="77"/>
    </row>
    <row r="15" ht="16.5" customHeight="1">
      <c r="A15" s="71" t="s">
        <v>527</v>
      </c>
      <c r="B15" s="10" t="s">
        <v>90</v>
      </c>
      <c r="C15" s="10" t="s">
        <v>472</v>
      </c>
      <c r="D15" s="10"/>
      <c r="E15" s="10" t="s">
        <v>523</v>
      </c>
      <c r="F15" s="10" t="s">
        <v>751</v>
      </c>
      <c r="G15" s="10" t="s">
        <v>27</v>
      </c>
      <c r="H15" s="10">
        <v>2026.0</v>
      </c>
      <c r="I15" s="12" t="s">
        <v>535</v>
      </c>
      <c r="J15" s="10" t="s">
        <v>57</v>
      </c>
      <c r="K15" s="10" t="s">
        <v>82</v>
      </c>
      <c r="L15" s="10" t="s">
        <v>306</v>
      </c>
      <c r="M15" s="10" t="s">
        <v>96</v>
      </c>
      <c r="N15" s="10" t="s">
        <v>32</v>
      </c>
      <c r="O15" s="10" t="s">
        <v>97</v>
      </c>
      <c r="P15" s="10" t="s">
        <v>314</v>
      </c>
      <c r="Q15" s="10" t="s">
        <v>752</v>
      </c>
      <c r="R15" s="10" t="s">
        <v>753</v>
      </c>
      <c r="S15" s="10"/>
      <c r="T15" s="13"/>
      <c r="V15" s="29" t="str">
        <f t="array" ref="V15">XLOOKUP($I15,TEST_HK_Coding!$I$5:$I$52,TEST_HK_Coding!$A$5:$A$52,"")</f>
        <v>HK-012</v>
      </c>
    </row>
    <row r="16" ht="16.5" customHeight="1">
      <c r="A16" s="71" t="s">
        <v>532</v>
      </c>
      <c r="B16" s="10" t="s">
        <v>90</v>
      </c>
      <c r="C16" s="10" t="s">
        <v>472</v>
      </c>
      <c r="D16" s="10"/>
      <c r="E16" s="10" t="s">
        <v>523</v>
      </c>
      <c r="F16" s="10" t="s">
        <v>538</v>
      </c>
      <c r="G16" s="78" t="s">
        <v>27</v>
      </c>
      <c r="H16" s="78" t="s">
        <v>754</v>
      </c>
      <c r="I16" s="12" t="s">
        <v>539</v>
      </c>
      <c r="J16" s="10" t="s">
        <v>42</v>
      </c>
      <c r="K16" s="10" t="s">
        <v>58</v>
      </c>
      <c r="L16" s="10" t="s">
        <v>306</v>
      </c>
      <c r="M16" s="10" t="s">
        <v>59</v>
      </c>
      <c r="N16" s="10" t="s">
        <v>32</v>
      </c>
      <c r="O16" s="10" t="s">
        <v>34</v>
      </c>
      <c r="P16" s="10" t="s">
        <v>314</v>
      </c>
      <c r="Q16" s="10" t="s">
        <v>755</v>
      </c>
      <c r="R16" s="10" t="s">
        <v>756</v>
      </c>
      <c r="S16" s="10"/>
      <c r="T16" s="13"/>
      <c r="V16" s="29" t="str">
        <f t="array" ref="V16">XLOOKUP($I16,TEST_HK_Coding!$I$5:$I$52,TEST_HK_Coding!$A$5:$A$52,"")</f>
        <v>HK-013</v>
      </c>
    </row>
    <row r="17" ht="16.5" customHeight="1">
      <c r="A17" s="9" t="s">
        <v>537</v>
      </c>
      <c r="B17" s="10" t="s">
        <v>90</v>
      </c>
      <c r="C17" s="10" t="s">
        <v>472</v>
      </c>
      <c r="D17" s="10"/>
      <c r="E17" s="10" t="s">
        <v>523</v>
      </c>
      <c r="F17" s="10" t="s">
        <v>543</v>
      </c>
      <c r="G17" s="10" t="s">
        <v>27</v>
      </c>
      <c r="H17" s="47">
        <v>45908.0</v>
      </c>
      <c r="I17" s="12" t="s">
        <v>757</v>
      </c>
      <c r="J17" s="10" t="s">
        <v>57</v>
      </c>
      <c r="K17" s="10" t="s">
        <v>82</v>
      </c>
      <c r="L17" s="10" t="s">
        <v>306</v>
      </c>
      <c r="M17" s="10" t="s">
        <v>96</v>
      </c>
      <c r="N17" s="10" t="s">
        <v>32</v>
      </c>
      <c r="O17" s="10" t="s">
        <v>97</v>
      </c>
      <c r="P17" s="10" t="s">
        <v>758</v>
      </c>
      <c r="Q17" s="10" t="s">
        <v>759</v>
      </c>
      <c r="R17" s="10" t="s">
        <v>760</v>
      </c>
      <c r="S17" s="10" t="s">
        <v>182</v>
      </c>
      <c r="T17" s="13"/>
      <c r="V17" s="29" t="str">
        <f t="array" ref="V17">XLOOKUP($I17,TEST_HK_Coding!$I$5:$I$52,TEST_HK_Coding!$A$5:$A$52,"")</f>
        <v/>
      </c>
    </row>
    <row r="18" ht="16.5" customHeight="1">
      <c r="A18" s="71" t="s">
        <v>541</v>
      </c>
      <c r="B18" s="10" t="s">
        <v>90</v>
      </c>
      <c r="C18" s="10" t="s">
        <v>472</v>
      </c>
      <c r="D18" s="10"/>
      <c r="E18" s="10" t="s">
        <v>523</v>
      </c>
      <c r="F18" s="10" t="s">
        <v>548</v>
      </c>
      <c r="G18" s="10" t="s">
        <v>27</v>
      </c>
      <c r="H18" s="47">
        <v>46156.0</v>
      </c>
      <c r="I18" s="12" t="s">
        <v>549</v>
      </c>
      <c r="J18" s="10" t="s">
        <v>57</v>
      </c>
      <c r="K18" s="10" t="s">
        <v>58</v>
      </c>
      <c r="L18" s="10" t="s">
        <v>306</v>
      </c>
      <c r="M18" s="10" t="s">
        <v>96</v>
      </c>
      <c r="N18" s="10" t="s">
        <v>32</v>
      </c>
      <c r="O18" s="10" t="s">
        <v>34</v>
      </c>
      <c r="P18" s="10" t="s">
        <v>314</v>
      </c>
      <c r="Q18" s="10" t="s">
        <v>761</v>
      </c>
      <c r="R18" s="10" t="s">
        <v>762</v>
      </c>
      <c r="S18" s="10" t="s">
        <v>219</v>
      </c>
      <c r="T18" s="13"/>
      <c r="V18" s="29" t="str">
        <f t="array" ref="V18">XLOOKUP($I18,TEST_HK_Coding!$I$5:$I$52,TEST_HK_Coding!$A$5:$A$52,"")</f>
        <v>HK-015</v>
      </c>
    </row>
    <row r="19" ht="16.5" customHeight="1">
      <c r="A19" s="9" t="s">
        <v>546</v>
      </c>
      <c r="B19" s="10" t="s">
        <v>90</v>
      </c>
      <c r="C19" s="10" t="s">
        <v>472</v>
      </c>
      <c r="D19" s="10"/>
      <c r="E19" s="10" t="s">
        <v>523</v>
      </c>
      <c r="F19" s="10" t="s">
        <v>763</v>
      </c>
      <c r="G19" s="10" t="s">
        <v>27</v>
      </c>
      <c r="H19" s="10">
        <v>2025.0</v>
      </c>
      <c r="I19" s="12" t="s">
        <v>764</v>
      </c>
      <c r="J19" s="10" t="s">
        <v>42</v>
      </c>
      <c r="K19" s="10" t="s">
        <v>30</v>
      </c>
      <c r="L19" s="10" t="s">
        <v>313</v>
      </c>
      <c r="M19" s="10" t="s">
        <v>44</v>
      </c>
      <c r="N19" s="10" t="s">
        <v>45</v>
      </c>
      <c r="O19" s="10" t="s">
        <v>34</v>
      </c>
      <c r="P19" s="10" t="s">
        <v>111</v>
      </c>
      <c r="Q19" s="10" t="s">
        <v>765</v>
      </c>
      <c r="R19" s="10" t="s">
        <v>766</v>
      </c>
      <c r="S19" s="10" t="s">
        <v>182</v>
      </c>
      <c r="T19" s="13"/>
      <c r="V19" s="29" t="str">
        <f t="array" ref="V19">XLOOKUP($I19,TEST_HK_Coding!$I$5:$I$52,TEST_HK_Coding!$A$5:$A$52,"")</f>
        <v/>
      </c>
    </row>
    <row r="20" ht="16.5" customHeight="1">
      <c r="A20" s="9" t="s">
        <v>551</v>
      </c>
      <c r="B20" s="10" t="s">
        <v>352</v>
      </c>
      <c r="C20" s="10" t="s">
        <v>472</v>
      </c>
      <c r="D20" s="10"/>
      <c r="E20" s="10" t="s">
        <v>523</v>
      </c>
      <c r="F20" s="10" t="s">
        <v>767</v>
      </c>
      <c r="G20" s="10" t="s">
        <v>27</v>
      </c>
      <c r="H20" s="47">
        <v>45992.0</v>
      </c>
      <c r="I20" s="12" t="s">
        <v>768</v>
      </c>
      <c r="J20" s="10" t="s">
        <v>29</v>
      </c>
      <c r="K20" s="10" t="s">
        <v>82</v>
      </c>
      <c r="L20" s="10" t="s">
        <v>306</v>
      </c>
      <c r="M20" s="10" t="s">
        <v>32</v>
      </c>
      <c r="N20" s="10" t="s">
        <v>96</v>
      </c>
      <c r="O20" s="10" t="s">
        <v>97</v>
      </c>
      <c r="P20" s="10" t="s">
        <v>314</v>
      </c>
      <c r="Q20" s="10" t="s">
        <v>769</v>
      </c>
      <c r="R20" s="10" t="s">
        <v>770</v>
      </c>
      <c r="S20" s="10" t="s">
        <v>182</v>
      </c>
      <c r="T20" s="13"/>
      <c r="V20" s="29" t="str">
        <f t="array" ref="V20">XLOOKUP($I20,TEST_HK_Coding!$I$5:$I$52,TEST_HK_Coding!$A$5:$A$52,"")</f>
        <v/>
      </c>
    </row>
    <row r="21" ht="16.5" customHeight="1">
      <c r="A21" s="79" t="s">
        <v>556</v>
      </c>
      <c r="B21" s="80" t="s">
        <v>352</v>
      </c>
      <c r="C21" s="80" t="s">
        <v>472</v>
      </c>
      <c r="D21" s="80"/>
      <c r="E21" s="80" t="s">
        <v>523</v>
      </c>
      <c r="F21" s="80" t="s">
        <v>771</v>
      </c>
      <c r="G21" s="10" t="s">
        <v>94</v>
      </c>
      <c r="H21" s="47">
        <v>45146.0</v>
      </c>
      <c r="I21" s="12" t="s">
        <v>568</v>
      </c>
      <c r="J21" s="10" t="s">
        <v>29</v>
      </c>
      <c r="K21" s="10" t="s">
        <v>30</v>
      </c>
      <c r="L21" s="10" t="s">
        <v>313</v>
      </c>
      <c r="M21" s="10" t="s">
        <v>96</v>
      </c>
      <c r="N21" s="10"/>
      <c r="O21" s="10" t="s">
        <v>97</v>
      </c>
      <c r="P21" s="10" t="s">
        <v>314</v>
      </c>
      <c r="Q21" s="62" t="s">
        <v>569</v>
      </c>
      <c r="R21" s="62" t="s">
        <v>570</v>
      </c>
      <c r="S21" s="10" t="s">
        <v>182</v>
      </c>
      <c r="T21" s="13"/>
      <c r="V21" s="29" t="str">
        <f t="array" ref="V21">XLOOKUP($I21,TEST_HK_Coding!$I$5:$I$52,TEST_HK_Coding!$A$5:$A$52,"")</f>
        <v>HK-019</v>
      </c>
    </row>
    <row r="22" ht="16.5" customHeight="1">
      <c r="A22" s="9" t="s">
        <v>560</v>
      </c>
      <c r="B22" s="10" t="s">
        <v>352</v>
      </c>
      <c r="C22" s="10" t="s">
        <v>472</v>
      </c>
      <c r="D22" s="10"/>
      <c r="E22" s="10" t="s">
        <v>523</v>
      </c>
      <c r="F22" s="10" t="s">
        <v>772</v>
      </c>
      <c r="G22" s="10" t="s">
        <v>27</v>
      </c>
      <c r="H22" s="10">
        <v>2026.0</v>
      </c>
      <c r="I22" s="12" t="s">
        <v>773</v>
      </c>
      <c r="J22" s="10" t="s">
        <v>42</v>
      </c>
      <c r="K22" s="10" t="s">
        <v>30</v>
      </c>
      <c r="L22" s="10" t="s">
        <v>30</v>
      </c>
      <c r="M22" s="10" t="s">
        <v>32</v>
      </c>
      <c r="N22" s="10" t="s">
        <v>59</v>
      </c>
      <c r="O22" s="10" t="s">
        <v>97</v>
      </c>
      <c r="P22" s="10" t="s">
        <v>151</v>
      </c>
      <c r="Q22" s="10" t="s">
        <v>774</v>
      </c>
      <c r="R22" s="10" t="s">
        <v>775</v>
      </c>
      <c r="S22" s="10" t="s">
        <v>182</v>
      </c>
      <c r="T22" s="13"/>
      <c r="V22" s="29" t="str">
        <f t="array" ref="V22">XLOOKUP($I22,TEST_HK_Coding!$I$5:$I$52,TEST_HK_Coding!$A$5:$A$52,"")</f>
        <v/>
      </c>
    </row>
    <row r="23" ht="16.5" customHeight="1">
      <c r="A23" s="9" t="s">
        <v>565</v>
      </c>
      <c r="B23" s="10" t="s">
        <v>352</v>
      </c>
      <c r="C23" s="10" t="s">
        <v>472</v>
      </c>
      <c r="D23" s="10"/>
      <c r="E23" s="10" t="s">
        <v>523</v>
      </c>
      <c r="F23" s="10" t="s">
        <v>776</v>
      </c>
      <c r="G23" s="10" t="s">
        <v>27</v>
      </c>
      <c r="H23" s="10" t="s">
        <v>754</v>
      </c>
      <c r="I23" s="12" t="s">
        <v>777</v>
      </c>
      <c r="J23" s="10" t="s">
        <v>57</v>
      </c>
      <c r="K23" s="10" t="s">
        <v>30</v>
      </c>
      <c r="L23" s="10" t="s">
        <v>306</v>
      </c>
      <c r="M23" s="10" t="s">
        <v>96</v>
      </c>
      <c r="N23" s="10"/>
      <c r="O23" s="10" t="s">
        <v>110</v>
      </c>
      <c r="P23" s="10" t="s">
        <v>151</v>
      </c>
      <c r="Q23" s="10" t="s">
        <v>778</v>
      </c>
      <c r="R23" s="10" t="s">
        <v>779</v>
      </c>
      <c r="S23" s="10" t="s">
        <v>182</v>
      </c>
      <c r="T23" s="13"/>
      <c r="V23" s="29" t="str">
        <f t="array" ref="V23">XLOOKUP($I23,TEST_HK_Coding!$I$5:$I$52,TEST_HK_Coding!$A$5:$A$52,"")</f>
        <v/>
      </c>
    </row>
    <row r="24" ht="16.5" customHeight="1">
      <c r="A24" s="9" t="s">
        <v>571</v>
      </c>
      <c r="B24" s="10" t="s">
        <v>352</v>
      </c>
      <c r="C24" s="10" t="s">
        <v>472</v>
      </c>
      <c r="D24" s="10"/>
      <c r="E24" s="10" t="s">
        <v>523</v>
      </c>
      <c r="F24" s="10" t="s">
        <v>780</v>
      </c>
      <c r="G24" s="10" t="s">
        <v>132</v>
      </c>
      <c r="H24" s="10">
        <v>2026.0</v>
      </c>
      <c r="I24" s="81" t="s">
        <v>781</v>
      </c>
      <c r="J24" s="10" t="s">
        <v>42</v>
      </c>
      <c r="K24" s="10" t="s">
        <v>82</v>
      </c>
      <c r="L24" s="10" t="s">
        <v>313</v>
      </c>
      <c r="M24" s="10" t="s">
        <v>45</v>
      </c>
      <c r="N24" s="10" t="s">
        <v>44</v>
      </c>
      <c r="O24" s="10" t="s">
        <v>97</v>
      </c>
      <c r="P24" s="10" t="s">
        <v>314</v>
      </c>
      <c r="Q24" s="10" t="s">
        <v>782</v>
      </c>
      <c r="R24" s="10" t="s">
        <v>783</v>
      </c>
      <c r="S24" s="10" t="s">
        <v>182</v>
      </c>
      <c r="T24" s="13"/>
      <c r="V24" s="29" t="str">
        <f t="array" ref="V24">XLOOKUP($I24,TEST_HK_Coding!$I$5:$I$52,TEST_HK_Coding!$A$5:$A$52,"")</f>
        <v/>
      </c>
    </row>
    <row r="25" ht="16.5" customHeight="1">
      <c r="A25" s="9" t="s">
        <v>576</v>
      </c>
      <c r="B25" s="10" t="s">
        <v>174</v>
      </c>
      <c r="C25" s="10" t="s">
        <v>472</v>
      </c>
      <c r="D25" s="10"/>
      <c r="E25" s="10" t="s">
        <v>523</v>
      </c>
      <c r="F25" s="10" t="s">
        <v>784</v>
      </c>
      <c r="G25" s="10" t="s">
        <v>177</v>
      </c>
      <c r="H25" s="47">
        <v>46014.0</v>
      </c>
      <c r="I25" s="12" t="s">
        <v>785</v>
      </c>
      <c r="J25" s="10" t="s">
        <v>29</v>
      </c>
      <c r="K25" s="10" t="s">
        <v>30</v>
      </c>
      <c r="L25" s="10" t="s">
        <v>30</v>
      </c>
      <c r="M25" s="10" t="s">
        <v>33</v>
      </c>
      <c r="N25" s="10"/>
      <c r="O25" s="10" t="s">
        <v>300</v>
      </c>
      <c r="P25" s="10" t="s">
        <v>151</v>
      </c>
      <c r="Q25" s="10" t="s">
        <v>786</v>
      </c>
      <c r="R25" s="10" t="s">
        <v>787</v>
      </c>
      <c r="S25" s="10" t="s">
        <v>182</v>
      </c>
      <c r="T25" s="13"/>
      <c r="V25" s="29" t="str">
        <f t="array" ref="V25">XLOOKUP($I25,TEST_HK_Coding!$I$5:$I$52,TEST_HK_Coding!$A$5:$A$52,"")</f>
        <v/>
      </c>
    </row>
    <row r="26" ht="16.5" customHeight="1">
      <c r="A26" s="9" t="s">
        <v>582</v>
      </c>
      <c r="B26" s="10" t="s">
        <v>174</v>
      </c>
      <c r="C26" s="10" t="s">
        <v>472</v>
      </c>
      <c r="D26" s="10"/>
      <c r="E26" s="10" t="s">
        <v>523</v>
      </c>
      <c r="F26" s="10" t="s">
        <v>788</v>
      </c>
      <c r="G26" s="10" t="s">
        <v>177</v>
      </c>
      <c r="H26" s="10">
        <v>2025.0</v>
      </c>
      <c r="I26" s="12" t="s">
        <v>789</v>
      </c>
      <c r="J26" s="10" t="s">
        <v>57</v>
      </c>
      <c r="K26" s="10" t="s">
        <v>82</v>
      </c>
      <c r="L26" s="10" t="s">
        <v>103</v>
      </c>
      <c r="M26" s="10" t="s">
        <v>96</v>
      </c>
      <c r="N26" s="10" t="s">
        <v>44</v>
      </c>
      <c r="O26" s="10" t="s">
        <v>110</v>
      </c>
      <c r="P26" s="10" t="s">
        <v>151</v>
      </c>
      <c r="Q26" s="10" t="s">
        <v>790</v>
      </c>
      <c r="R26" s="10" t="s">
        <v>791</v>
      </c>
      <c r="S26" s="10" t="s">
        <v>182</v>
      </c>
      <c r="T26" s="13"/>
      <c r="V26" s="29" t="str">
        <f t="array" ref="V26">XLOOKUP($I26,TEST_HK_Coding!$I$5:$I$52,TEST_HK_Coding!$A$5:$A$52,"")</f>
        <v/>
      </c>
    </row>
    <row r="27" ht="16.5" customHeight="1">
      <c r="A27" s="9" t="s">
        <v>588</v>
      </c>
      <c r="B27" s="10" t="s">
        <v>174</v>
      </c>
      <c r="C27" s="10" t="s">
        <v>472</v>
      </c>
      <c r="D27" s="10"/>
      <c r="E27" s="10" t="s">
        <v>523</v>
      </c>
      <c r="F27" s="10" t="s">
        <v>792</v>
      </c>
      <c r="G27" s="10" t="s">
        <v>177</v>
      </c>
      <c r="H27" s="10">
        <v>2024.0</v>
      </c>
      <c r="I27" s="12" t="s">
        <v>793</v>
      </c>
      <c r="J27" s="10" t="s">
        <v>57</v>
      </c>
      <c r="K27" s="10" t="s">
        <v>82</v>
      </c>
      <c r="L27" s="10" t="s">
        <v>103</v>
      </c>
      <c r="M27" s="10" t="s">
        <v>96</v>
      </c>
      <c r="N27" s="10" t="s">
        <v>44</v>
      </c>
      <c r="O27" s="10" t="s">
        <v>110</v>
      </c>
      <c r="P27" s="10" t="s">
        <v>151</v>
      </c>
      <c r="Q27" s="10" t="s">
        <v>794</v>
      </c>
      <c r="R27" s="10" t="s">
        <v>795</v>
      </c>
      <c r="S27" s="10" t="s">
        <v>182</v>
      </c>
      <c r="T27" s="13"/>
      <c r="V27" s="29" t="str">
        <f t="array" ref="V27">XLOOKUP($I27,TEST_HK_Coding!$I$5:$I$52,TEST_HK_Coding!$A$5:$A$52,"")</f>
        <v/>
      </c>
    </row>
    <row r="28" ht="16.5" customHeight="1">
      <c r="A28" s="9" t="s">
        <v>592</v>
      </c>
      <c r="B28" s="10" t="s">
        <v>174</v>
      </c>
      <c r="C28" s="10" t="s">
        <v>472</v>
      </c>
      <c r="D28" s="10"/>
      <c r="E28" s="10" t="s">
        <v>523</v>
      </c>
      <c r="F28" s="10" t="s">
        <v>796</v>
      </c>
      <c r="G28" s="10" t="s">
        <v>177</v>
      </c>
      <c r="H28" s="10">
        <v>2025.0</v>
      </c>
      <c r="I28" s="12" t="s">
        <v>797</v>
      </c>
      <c r="J28" s="10" t="s">
        <v>29</v>
      </c>
      <c r="K28" s="10" t="s">
        <v>82</v>
      </c>
      <c r="L28" s="10" t="s">
        <v>103</v>
      </c>
      <c r="M28" s="10" t="s">
        <v>96</v>
      </c>
      <c r="N28" s="10"/>
      <c r="O28" s="10" t="s">
        <v>110</v>
      </c>
      <c r="P28" s="10" t="s">
        <v>151</v>
      </c>
      <c r="Q28" s="10" t="s">
        <v>798</v>
      </c>
      <c r="R28" s="10" t="s">
        <v>799</v>
      </c>
      <c r="S28" s="10" t="s">
        <v>182</v>
      </c>
      <c r="T28" s="13"/>
      <c r="V28" s="29" t="str">
        <f t="array" ref="V28">XLOOKUP($I28,TEST_HK_Coding!$I$5:$I$52,TEST_HK_Coding!$A$5:$A$52,"")</f>
        <v/>
      </c>
    </row>
    <row r="29" ht="16.5" customHeight="1">
      <c r="A29" s="9" t="s">
        <v>598</v>
      </c>
      <c r="B29" s="10" t="s">
        <v>174</v>
      </c>
      <c r="C29" s="10" t="s">
        <v>472</v>
      </c>
      <c r="D29" s="10"/>
      <c r="E29" s="10" t="s">
        <v>523</v>
      </c>
      <c r="F29" s="10" t="s">
        <v>800</v>
      </c>
      <c r="G29" s="10" t="s">
        <v>177</v>
      </c>
      <c r="H29" s="10">
        <v>2025.0</v>
      </c>
      <c r="I29" s="12" t="s">
        <v>801</v>
      </c>
      <c r="J29" s="10" t="s">
        <v>57</v>
      </c>
      <c r="K29" s="10" t="s">
        <v>82</v>
      </c>
      <c r="L29" s="10" t="s">
        <v>103</v>
      </c>
      <c r="M29" s="10" t="s">
        <v>96</v>
      </c>
      <c r="N29" s="10"/>
      <c r="O29" s="10" t="s">
        <v>110</v>
      </c>
      <c r="P29" s="10" t="s">
        <v>151</v>
      </c>
      <c r="Q29" s="10" t="s">
        <v>802</v>
      </c>
      <c r="R29" s="10" t="s">
        <v>803</v>
      </c>
      <c r="S29" s="10" t="s">
        <v>182</v>
      </c>
      <c r="T29" s="13"/>
      <c r="V29" s="29" t="str">
        <f t="array" ref="V29">XLOOKUP($I29,TEST_HK_Coding!$I$5:$I$52,TEST_HK_Coding!$A$5:$A$52,"")</f>
        <v/>
      </c>
    </row>
    <row r="30" ht="16.5" customHeight="1">
      <c r="A30" s="71" t="s">
        <v>604</v>
      </c>
      <c r="B30" s="10" t="s">
        <v>90</v>
      </c>
      <c r="C30" s="10" t="s">
        <v>472</v>
      </c>
      <c r="D30" s="10"/>
      <c r="E30" s="16" t="s">
        <v>627</v>
      </c>
      <c r="F30" s="10" t="s">
        <v>633</v>
      </c>
      <c r="G30" s="10" t="s">
        <v>27</v>
      </c>
      <c r="H30" s="47">
        <v>46023.0</v>
      </c>
      <c r="I30" s="12" t="s">
        <v>634</v>
      </c>
      <c r="J30" s="10" t="s">
        <v>42</v>
      </c>
      <c r="K30" s="10" t="s">
        <v>102</v>
      </c>
      <c r="L30" s="10" t="s">
        <v>306</v>
      </c>
      <c r="M30" s="10" t="s">
        <v>96</v>
      </c>
      <c r="N30" s="10" t="s">
        <v>32</v>
      </c>
      <c r="O30" s="10" t="s">
        <v>97</v>
      </c>
      <c r="P30" s="10" t="s">
        <v>151</v>
      </c>
      <c r="Q30" s="10" t="s">
        <v>804</v>
      </c>
      <c r="R30" s="10" t="s">
        <v>805</v>
      </c>
      <c r="S30" s="10" t="s">
        <v>219</v>
      </c>
      <c r="T30" s="13"/>
      <c r="U30" s="18" t="s">
        <v>806</v>
      </c>
      <c r="V30" s="29" t="str">
        <f t="array" ref="V30">XLOOKUP($I30,TEST_HK_Coding!$I$5:$I$52,TEST_HK_Coding!$A$5:$A$52,"")</f>
        <v>HK-031</v>
      </c>
    </row>
    <row r="31" ht="16.5" customHeight="1">
      <c r="A31" s="71" t="s">
        <v>610</v>
      </c>
      <c r="B31" s="10" t="s">
        <v>90</v>
      </c>
      <c r="C31" s="10" t="s">
        <v>472</v>
      </c>
      <c r="D31" s="10" t="s">
        <v>807</v>
      </c>
      <c r="E31" s="16" t="s">
        <v>627</v>
      </c>
      <c r="F31" s="10" t="s">
        <v>808</v>
      </c>
      <c r="G31" s="10" t="s">
        <v>132</v>
      </c>
      <c r="H31" s="10">
        <v>2026.0</v>
      </c>
      <c r="I31" s="12" t="s">
        <v>656</v>
      </c>
      <c r="J31" s="10" t="s">
        <v>42</v>
      </c>
      <c r="K31" s="10" t="s">
        <v>30</v>
      </c>
      <c r="L31" s="10" t="s">
        <v>103</v>
      </c>
      <c r="M31" s="10" t="s">
        <v>44</v>
      </c>
      <c r="N31" s="10" t="s">
        <v>96</v>
      </c>
      <c r="O31" s="10" t="s">
        <v>34</v>
      </c>
      <c r="P31" s="10" t="s">
        <v>314</v>
      </c>
      <c r="Q31" s="10" t="s">
        <v>809</v>
      </c>
      <c r="R31" s="10" t="s">
        <v>810</v>
      </c>
      <c r="S31" s="10" t="s">
        <v>219</v>
      </c>
      <c r="T31" s="13"/>
      <c r="U31" s="18" t="s">
        <v>182</v>
      </c>
      <c r="V31" s="29" t="str">
        <f t="array" ref="V31">XLOOKUP($I31,TEST_HK_Coding!$I$5:$I$52,TEST_HK_Coding!$A$5:$A$52,"")</f>
        <v>HK-035</v>
      </c>
    </row>
    <row r="32" ht="16.5" customHeight="1">
      <c r="A32" s="9" t="s">
        <v>613</v>
      </c>
      <c r="B32" s="10" t="s">
        <v>90</v>
      </c>
      <c r="C32" s="10" t="s">
        <v>472</v>
      </c>
      <c r="D32" s="82"/>
      <c r="E32" s="16" t="s">
        <v>627</v>
      </c>
      <c r="F32" s="10" t="s">
        <v>811</v>
      </c>
      <c r="G32" s="10" t="s">
        <v>71</v>
      </c>
      <c r="H32" s="10" t="s">
        <v>754</v>
      </c>
      <c r="I32" s="66" t="s">
        <v>812</v>
      </c>
      <c r="J32" s="10" t="s">
        <v>29</v>
      </c>
      <c r="K32" s="10" t="s">
        <v>82</v>
      </c>
      <c r="L32" s="10" t="s">
        <v>306</v>
      </c>
      <c r="M32" s="10" t="s">
        <v>96</v>
      </c>
      <c r="N32" s="10" t="s">
        <v>44</v>
      </c>
      <c r="O32" s="10" t="s">
        <v>110</v>
      </c>
      <c r="P32" s="10" t="s">
        <v>151</v>
      </c>
      <c r="Q32" s="10" t="s">
        <v>813</v>
      </c>
      <c r="R32" s="10"/>
      <c r="S32" s="10"/>
      <c r="T32" s="13"/>
      <c r="V32" s="29" t="str">
        <f t="array" ref="V32">XLOOKUP($I32,TEST_HK_Coding!$I$5:$I$52,TEST_HK_Coding!$A$5:$A$52,"")</f>
        <v/>
      </c>
    </row>
    <row r="33" ht="16.5" customHeight="1">
      <c r="A33" s="9" t="s">
        <v>619</v>
      </c>
      <c r="B33" s="10" t="s">
        <v>90</v>
      </c>
      <c r="C33" s="10" t="s">
        <v>472</v>
      </c>
      <c r="D33" s="82"/>
      <c r="E33" s="16" t="s">
        <v>627</v>
      </c>
      <c r="F33" s="10" t="s">
        <v>814</v>
      </c>
      <c r="G33" s="10" t="s">
        <v>27</v>
      </c>
      <c r="H33" s="47">
        <v>46143.0</v>
      </c>
      <c r="I33" s="66" t="s">
        <v>815</v>
      </c>
      <c r="J33" s="10" t="s">
        <v>29</v>
      </c>
      <c r="K33" s="10" t="s">
        <v>82</v>
      </c>
      <c r="L33" s="10" t="s">
        <v>103</v>
      </c>
      <c r="M33" s="10" t="s">
        <v>44</v>
      </c>
      <c r="N33" s="10" t="s">
        <v>96</v>
      </c>
      <c r="O33" s="10" t="s">
        <v>110</v>
      </c>
      <c r="P33" s="10" t="s">
        <v>151</v>
      </c>
      <c r="Q33" s="10" t="s">
        <v>816</v>
      </c>
      <c r="R33" s="10"/>
      <c r="S33" s="10"/>
      <c r="T33" s="13"/>
      <c r="V33" s="29" t="str">
        <f t="array" ref="V33">XLOOKUP($I33,TEST_HK_Coding!$I$5:$I$52,TEST_HK_Coding!$A$5:$A$52,"")</f>
        <v/>
      </c>
    </row>
    <row r="34" ht="16.5" customHeight="1">
      <c r="A34" s="9" t="s">
        <v>625</v>
      </c>
      <c r="B34" s="10" t="s">
        <v>90</v>
      </c>
      <c r="C34" s="10" t="s">
        <v>472</v>
      </c>
      <c r="D34" s="10" t="s">
        <v>817</v>
      </c>
      <c r="E34" s="16" t="s">
        <v>627</v>
      </c>
      <c r="F34" s="10" t="s">
        <v>818</v>
      </c>
      <c r="G34" s="10" t="s">
        <v>27</v>
      </c>
      <c r="H34" s="47">
        <v>45926.0</v>
      </c>
      <c r="I34" s="66" t="s">
        <v>819</v>
      </c>
      <c r="J34" s="10" t="s">
        <v>57</v>
      </c>
      <c r="K34" s="10" t="s">
        <v>82</v>
      </c>
      <c r="L34" s="10" t="s">
        <v>313</v>
      </c>
      <c r="M34" s="10" t="s">
        <v>96</v>
      </c>
      <c r="N34" s="10"/>
      <c r="O34" s="10" t="s">
        <v>110</v>
      </c>
      <c r="P34" s="10" t="s">
        <v>151</v>
      </c>
      <c r="Q34" s="10" t="s">
        <v>820</v>
      </c>
      <c r="R34" s="10" t="s">
        <v>821</v>
      </c>
      <c r="S34" s="10"/>
      <c r="T34" s="13"/>
      <c r="U34" s="18" t="s">
        <v>182</v>
      </c>
      <c r="V34" s="29" t="str">
        <f t="array" ref="V34">XLOOKUP($I34,TEST_HK_Coding!$I$5:$I$52,TEST_HK_Coding!$A$5:$A$52,"")</f>
        <v/>
      </c>
    </row>
    <row r="35" ht="16.5" customHeight="1">
      <c r="A35" s="9" t="s">
        <v>631</v>
      </c>
      <c r="B35" s="10" t="s">
        <v>352</v>
      </c>
      <c r="C35" s="10" t="s">
        <v>472</v>
      </c>
      <c r="D35" s="10" t="s">
        <v>822</v>
      </c>
      <c r="E35" s="16" t="s">
        <v>627</v>
      </c>
      <c r="F35" s="10" t="s">
        <v>823</v>
      </c>
      <c r="G35" s="10" t="s">
        <v>27</v>
      </c>
      <c r="H35" s="10">
        <v>2026.0</v>
      </c>
      <c r="I35" s="12" t="s">
        <v>824</v>
      </c>
      <c r="J35" s="10" t="s">
        <v>29</v>
      </c>
      <c r="K35" s="10" t="s">
        <v>82</v>
      </c>
      <c r="L35" s="10" t="s">
        <v>313</v>
      </c>
      <c r="M35" s="10" t="s">
        <v>96</v>
      </c>
      <c r="N35" s="10" t="s">
        <v>45</v>
      </c>
      <c r="O35" s="10" t="s">
        <v>34</v>
      </c>
      <c r="P35" s="10" t="s">
        <v>314</v>
      </c>
      <c r="Q35" s="10" t="s">
        <v>825</v>
      </c>
      <c r="R35" s="10" t="s">
        <v>826</v>
      </c>
      <c r="S35" s="10"/>
      <c r="T35" s="13"/>
      <c r="U35" s="18" t="s">
        <v>182</v>
      </c>
      <c r="V35" s="29" t="str">
        <f t="array" ref="V35">XLOOKUP($I35,TEST_HK_Coding!$I$5:$I$52,TEST_HK_Coding!$A$5:$A$52,"")</f>
        <v/>
      </c>
    </row>
    <row r="36" ht="16.5" customHeight="1">
      <c r="A36" s="9" t="s">
        <v>636</v>
      </c>
      <c r="B36" s="10" t="s">
        <v>352</v>
      </c>
      <c r="C36" s="10" t="s">
        <v>472</v>
      </c>
      <c r="D36" s="10" t="s">
        <v>827</v>
      </c>
      <c r="E36" s="16" t="s">
        <v>627</v>
      </c>
      <c r="F36" s="10" t="s">
        <v>828</v>
      </c>
      <c r="G36" s="10" t="s">
        <v>132</v>
      </c>
      <c r="H36" s="10">
        <v>2026.0</v>
      </c>
      <c r="I36" s="12" t="s">
        <v>829</v>
      </c>
      <c r="J36" s="10" t="s">
        <v>42</v>
      </c>
      <c r="K36" s="10" t="s">
        <v>58</v>
      </c>
      <c r="L36" s="10" t="s">
        <v>313</v>
      </c>
      <c r="M36" s="10" t="s">
        <v>45</v>
      </c>
      <c r="N36" s="10" t="s">
        <v>96</v>
      </c>
      <c r="O36" s="10" t="s">
        <v>97</v>
      </c>
      <c r="P36" s="10" t="s">
        <v>314</v>
      </c>
      <c r="Q36" s="10" t="s">
        <v>830</v>
      </c>
      <c r="R36" s="10" t="s">
        <v>831</v>
      </c>
      <c r="S36" s="10"/>
      <c r="T36" s="13"/>
      <c r="U36" s="18" t="s">
        <v>182</v>
      </c>
      <c r="V36" s="29" t="str">
        <f t="array" ref="V36">XLOOKUP($I36,TEST_HK_Coding!$I$5:$I$52,TEST_HK_Coding!$A$5:$A$52,"")</f>
        <v/>
      </c>
    </row>
    <row r="37" ht="16.5" customHeight="1">
      <c r="A37" s="9" t="s">
        <v>641</v>
      </c>
      <c r="B37" s="10" t="s">
        <v>352</v>
      </c>
      <c r="C37" s="10" t="s">
        <v>472</v>
      </c>
      <c r="D37" s="10" t="s">
        <v>827</v>
      </c>
      <c r="E37" s="16" t="s">
        <v>627</v>
      </c>
      <c r="F37" s="10" t="s">
        <v>832</v>
      </c>
      <c r="G37" s="10" t="s">
        <v>132</v>
      </c>
      <c r="H37" s="47">
        <v>45791.0</v>
      </c>
      <c r="I37" s="12" t="s">
        <v>833</v>
      </c>
      <c r="J37" s="10" t="s">
        <v>29</v>
      </c>
      <c r="K37" s="10" t="s">
        <v>82</v>
      </c>
      <c r="L37" s="10" t="s">
        <v>103</v>
      </c>
      <c r="M37" s="10" t="s">
        <v>44</v>
      </c>
      <c r="N37" s="10" t="s">
        <v>96</v>
      </c>
      <c r="O37" s="10" t="s">
        <v>110</v>
      </c>
      <c r="P37" s="10" t="s">
        <v>111</v>
      </c>
      <c r="Q37" s="10" t="s">
        <v>834</v>
      </c>
      <c r="R37" s="10" t="s">
        <v>835</v>
      </c>
      <c r="S37" s="10"/>
      <c r="T37" s="13"/>
      <c r="U37" s="18" t="s">
        <v>182</v>
      </c>
      <c r="V37" s="29" t="str">
        <f t="array" ref="V37">XLOOKUP($I37,TEST_HK_Coding!$I$5:$I$52,TEST_HK_Coding!$A$5:$A$52,"")</f>
        <v/>
      </c>
    </row>
    <row r="38" ht="16.5" customHeight="1">
      <c r="A38" s="71" t="s">
        <v>647</v>
      </c>
      <c r="B38" s="10" t="s">
        <v>352</v>
      </c>
      <c r="C38" s="10" t="s">
        <v>472</v>
      </c>
      <c r="D38" s="10" t="s">
        <v>836</v>
      </c>
      <c r="E38" s="16" t="s">
        <v>627</v>
      </c>
      <c r="F38" s="10" t="s">
        <v>837</v>
      </c>
      <c r="G38" s="10" t="s">
        <v>27</v>
      </c>
      <c r="H38" s="47">
        <v>45901.0</v>
      </c>
      <c r="I38" s="12" t="s">
        <v>639</v>
      </c>
      <c r="J38" s="78" t="s">
        <v>29</v>
      </c>
      <c r="K38" s="10" t="s">
        <v>82</v>
      </c>
      <c r="L38" s="10" t="s">
        <v>313</v>
      </c>
      <c r="M38" s="10" t="s">
        <v>96</v>
      </c>
      <c r="N38" s="10" t="s">
        <v>45</v>
      </c>
      <c r="O38" s="10" t="s">
        <v>97</v>
      </c>
      <c r="P38" s="10" t="s">
        <v>151</v>
      </c>
      <c r="Q38" s="10" t="s">
        <v>838</v>
      </c>
      <c r="R38" s="10" t="s">
        <v>839</v>
      </c>
      <c r="S38" s="10"/>
      <c r="T38" s="13"/>
      <c r="U38" s="18" t="s">
        <v>182</v>
      </c>
      <c r="V38" s="29" t="str">
        <f t="array" ref="V38">XLOOKUP($I38,TEST_HK_Coding!$I$5:$I$52,TEST_HK_Coding!$A$5:$A$52,"")</f>
        <v>HK-032</v>
      </c>
    </row>
    <row r="39" ht="16.5" customHeight="1">
      <c r="A39" s="71" t="s">
        <v>653</v>
      </c>
      <c r="B39" s="10" t="s">
        <v>352</v>
      </c>
      <c r="C39" s="10" t="s">
        <v>472</v>
      </c>
      <c r="D39" s="10" t="s">
        <v>840</v>
      </c>
      <c r="E39" s="16" t="s">
        <v>627</v>
      </c>
      <c r="F39" s="10" t="s">
        <v>680</v>
      </c>
      <c r="G39" s="10" t="s">
        <v>132</v>
      </c>
      <c r="H39" s="10">
        <v>2026.0</v>
      </c>
      <c r="I39" s="12" t="s">
        <v>681</v>
      </c>
      <c r="J39" s="10" t="s">
        <v>57</v>
      </c>
      <c r="K39" s="10" t="s">
        <v>82</v>
      </c>
      <c r="L39" s="10" t="s">
        <v>30</v>
      </c>
      <c r="M39" s="10" t="s">
        <v>45</v>
      </c>
      <c r="N39" s="10" t="s">
        <v>44</v>
      </c>
      <c r="O39" s="10" t="s">
        <v>97</v>
      </c>
      <c r="P39" s="10" t="s">
        <v>151</v>
      </c>
      <c r="Q39" s="10" t="s">
        <v>841</v>
      </c>
      <c r="R39" s="10" t="s">
        <v>683</v>
      </c>
      <c r="S39" s="10" t="s">
        <v>219</v>
      </c>
      <c r="T39" s="13"/>
      <c r="U39" s="18" t="s">
        <v>182</v>
      </c>
      <c r="V39" s="29" t="str">
        <f t="array" ref="V39">XLOOKUP($I39,TEST_HK_Coding!$I$5:$I$52,TEST_HK_Coding!$A$5:$A$52,"")</f>
        <v>HK-040</v>
      </c>
    </row>
    <row r="40">
      <c r="A40" s="9" t="s">
        <v>658</v>
      </c>
      <c r="B40" s="10" t="s">
        <v>174</v>
      </c>
      <c r="C40" s="10" t="s">
        <v>472</v>
      </c>
      <c r="D40" s="10" t="s">
        <v>842</v>
      </c>
      <c r="E40" s="16" t="s">
        <v>627</v>
      </c>
      <c r="F40" s="10" t="s">
        <v>843</v>
      </c>
      <c r="G40" s="10" t="s">
        <v>177</v>
      </c>
      <c r="H40" s="47">
        <v>45536.0</v>
      </c>
      <c r="I40" s="12" t="s">
        <v>844</v>
      </c>
      <c r="J40" s="10" t="s">
        <v>29</v>
      </c>
      <c r="K40" s="10" t="s">
        <v>82</v>
      </c>
      <c r="L40" s="10" t="s">
        <v>103</v>
      </c>
      <c r="M40" s="10" t="s">
        <v>96</v>
      </c>
      <c r="N40" s="10" t="s">
        <v>44</v>
      </c>
      <c r="O40" s="10" t="s">
        <v>97</v>
      </c>
      <c r="P40" s="10" t="s">
        <v>151</v>
      </c>
      <c r="Q40" s="10" t="s">
        <v>845</v>
      </c>
      <c r="R40" s="10" t="s">
        <v>846</v>
      </c>
      <c r="S40" s="10" t="s">
        <v>182</v>
      </c>
      <c r="T40" s="13"/>
      <c r="V40" s="29" t="str">
        <f t="array" ref="V40">XLOOKUP($I40,TEST_HK_Coding!$I$5:$I$52,TEST_HK_Coding!$A$5:$A$52,"")</f>
        <v/>
      </c>
    </row>
    <row r="41" ht="16.5" customHeight="1">
      <c r="A41" s="9" t="s">
        <v>663</v>
      </c>
      <c r="B41" s="10" t="s">
        <v>174</v>
      </c>
      <c r="C41" s="10" t="s">
        <v>472</v>
      </c>
      <c r="D41" s="10" t="s">
        <v>842</v>
      </c>
      <c r="E41" s="16" t="s">
        <v>627</v>
      </c>
      <c r="F41" s="10" t="s">
        <v>847</v>
      </c>
      <c r="G41" s="10" t="s">
        <v>177</v>
      </c>
      <c r="H41" s="47">
        <v>45536.0</v>
      </c>
      <c r="I41" s="12" t="s">
        <v>844</v>
      </c>
      <c r="J41" s="10" t="s">
        <v>42</v>
      </c>
      <c r="K41" s="10" t="s">
        <v>30</v>
      </c>
      <c r="L41" s="10" t="s">
        <v>103</v>
      </c>
      <c r="M41" s="10" t="s">
        <v>44</v>
      </c>
      <c r="N41" s="10" t="s">
        <v>96</v>
      </c>
      <c r="O41" s="10" t="s">
        <v>300</v>
      </c>
      <c r="P41" s="10" t="s">
        <v>151</v>
      </c>
      <c r="Q41" s="10" t="s">
        <v>848</v>
      </c>
      <c r="R41" s="10" t="s">
        <v>849</v>
      </c>
      <c r="S41" s="10" t="s">
        <v>182</v>
      </c>
      <c r="T41" s="13"/>
      <c r="V41" s="29" t="str">
        <f t="array" ref="V41">XLOOKUP($I42,TEST_HK_Coding!$I$5:$I$52,TEST_HK_Coding!$A$5:$A$52,"")</f>
        <v/>
      </c>
    </row>
    <row r="42" ht="16.5" customHeight="1">
      <c r="A42" s="9" t="s">
        <v>668</v>
      </c>
      <c r="B42" s="10" t="s">
        <v>174</v>
      </c>
      <c r="C42" s="10" t="s">
        <v>472</v>
      </c>
      <c r="D42" s="10"/>
      <c r="E42" s="16" t="s">
        <v>627</v>
      </c>
      <c r="F42" s="10" t="s">
        <v>850</v>
      </c>
      <c r="G42" s="10" t="s">
        <v>177</v>
      </c>
      <c r="H42" s="47">
        <v>45444.0</v>
      </c>
      <c r="I42" s="12" t="s">
        <v>851</v>
      </c>
      <c r="J42" s="10" t="s">
        <v>29</v>
      </c>
      <c r="K42" s="10" t="s">
        <v>30</v>
      </c>
      <c r="L42" s="10" t="s">
        <v>30</v>
      </c>
      <c r="M42" s="10" t="s">
        <v>33</v>
      </c>
      <c r="N42" s="10" t="s">
        <v>32</v>
      </c>
      <c r="O42" s="10" t="s">
        <v>300</v>
      </c>
      <c r="P42" s="10" t="s">
        <v>151</v>
      </c>
      <c r="Q42" s="10" t="s">
        <v>852</v>
      </c>
      <c r="R42" s="10" t="s">
        <v>853</v>
      </c>
      <c r="S42" s="10" t="s">
        <v>182</v>
      </c>
      <c r="T42" s="13"/>
      <c r="V42" s="29" t="str">
        <f t="array" ref="V42">XLOOKUP($I43,TEST_HK_Coding!$I$5:$I$52,TEST_HK_Coding!$A$5:$A$52,"")</f>
        <v/>
      </c>
    </row>
    <row r="43" ht="16.5" customHeight="1">
      <c r="A43" s="9" t="s">
        <v>674</v>
      </c>
      <c r="B43" s="10" t="s">
        <v>174</v>
      </c>
      <c r="C43" s="10" t="s">
        <v>472</v>
      </c>
      <c r="D43" s="10"/>
      <c r="E43" s="16" t="s">
        <v>627</v>
      </c>
      <c r="F43" s="10" t="s">
        <v>854</v>
      </c>
      <c r="G43" s="10" t="s">
        <v>177</v>
      </c>
      <c r="H43" s="47">
        <v>45383.0</v>
      </c>
      <c r="I43" s="12" t="s">
        <v>855</v>
      </c>
      <c r="J43" s="10" t="s">
        <v>29</v>
      </c>
      <c r="K43" s="10" t="s">
        <v>30</v>
      </c>
      <c r="L43" s="10" t="s">
        <v>30</v>
      </c>
      <c r="M43" s="10" t="s">
        <v>33</v>
      </c>
      <c r="N43" s="10" t="s">
        <v>45</v>
      </c>
      <c r="O43" s="10" t="s">
        <v>300</v>
      </c>
      <c r="P43" s="10" t="s">
        <v>151</v>
      </c>
      <c r="Q43" s="10" t="s">
        <v>856</v>
      </c>
      <c r="R43" s="10" t="s">
        <v>857</v>
      </c>
      <c r="S43" s="10" t="s">
        <v>182</v>
      </c>
      <c r="T43" s="13"/>
      <c r="V43" s="29" t="str">
        <f t="array" ref="V43">XLOOKUP($I44,TEST_HK_Coding!$I$5:$I$52,TEST_HK_Coding!$A$5:$A$52,"")</f>
        <v/>
      </c>
    </row>
    <row r="44" ht="16.5" customHeight="1">
      <c r="A44" s="9" t="s">
        <v>678</v>
      </c>
      <c r="B44" s="10" t="s">
        <v>174</v>
      </c>
      <c r="C44" s="10" t="s">
        <v>472</v>
      </c>
      <c r="D44" s="10"/>
      <c r="E44" s="10" t="s">
        <v>627</v>
      </c>
      <c r="F44" s="10" t="s">
        <v>858</v>
      </c>
      <c r="G44" s="10" t="s">
        <v>177</v>
      </c>
      <c r="H44" s="47">
        <v>45870.0</v>
      </c>
      <c r="I44" s="12" t="s">
        <v>859</v>
      </c>
      <c r="J44" s="10" t="s">
        <v>29</v>
      </c>
      <c r="K44" s="10" t="s">
        <v>30</v>
      </c>
      <c r="L44" s="10" t="s">
        <v>30</v>
      </c>
      <c r="M44" s="10" t="s">
        <v>33</v>
      </c>
      <c r="N44" s="10" t="s">
        <v>32</v>
      </c>
      <c r="O44" s="10" t="s">
        <v>300</v>
      </c>
      <c r="P44" s="10" t="s">
        <v>151</v>
      </c>
      <c r="Q44" s="10" t="s">
        <v>860</v>
      </c>
      <c r="R44" s="10" t="s">
        <v>857</v>
      </c>
      <c r="S44" s="10" t="s">
        <v>182</v>
      </c>
      <c r="T44" s="10"/>
      <c r="V44" s="29" t="str">
        <f t="array" ref="V44">XLOOKUP(I44,TEST_HK_Coding!$I$5:$I$52,TEST_HK_Coding!$A$5:$A$52,"")</f>
        <v/>
      </c>
    </row>
    <row r="45" ht="16.5" customHeight="1">
      <c r="A45" s="71" t="s">
        <v>684</v>
      </c>
      <c r="B45" s="10" t="s">
        <v>90</v>
      </c>
      <c r="C45" s="10" t="s">
        <v>472</v>
      </c>
      <c r="D45" s="10"/>
      <c r="E45" s="10" t="s">
        <v>578</v>
      </c>
      <c r="F45" s="10" t="s">
        <v>589</v>
      </c>
      <c r="G45" s="78" t="s">
        <v>94</v>
      </c>
      <c r="H45" s="47">
        <v>45566.0</v>
      </c>
      <c r="I45" s="12" t="s">
        <v>590</v>
      </c>
      <c r="J45" s="10" t="s">
        <v>57</v>
      </c>
      <c r="K45" s="10" t="s">
        <v>82</v>
      </c>
      <c r="L45" s="10" t="s">
        <v>313</v>
      </c>
      <c r="M45" s="10" t="s">
        <v>44</v>
      </c>
      <c r="N45" s="10" t="s">
        <v>45</v>
      </c>
      <c r="O45" s="10" t="s">
        <v>34</v>
      </c>
      <c r="P45" s="10" t="s">
        <v>314</v>
      </c>
      <c r="Q45" s="10" t="s">
        <v>861</v>
      </c>
      <c r="R45" s="10" t="s">
        <v>862</v>
      </c>
      <c r="S45" s="10" t="s">
        <v>219</v>
      </c>
      <c r="T45" s="10"/>
      <c r="V45" s="29" t="str">
        <f t="array" ref="V45">XLOOKUP($I45,TEST_HK_Coding!$I$5:$I$52,TEST_HK_Coding!$A$5:$A$52,"")</f>
        <v>HK-023</v>
      </c>
    </row>
    <row r="46" ht="16.5" customHeight="1">
      <c r="A46" s="9" t="s">
        <v>690</v>
      </c>
      <c r="B46" s="10" t="s">
        <v>90</v>
      </c>
      <c r="C46" s="10" t="s">
        <v>472</v>
      </c>
      <c r="D46" s="10"/>
      <c r="E46" s="10" t="s">
        <v>578</v>
      </c>
      <c r="F46" s="10" t="s">
        <v>863</v>
      </c>
      <c r="G46" s="10" t="s">
        <v>27</v>
      </c>
      <c r="H46" s="47">
        <v>45870.0</v>
      </c>
      <c r="I46" s="12" t="s">
        <v>864</v>
      </c>
      <c r="J46" s="10" t="s">
        <v>42</v>
      </c>
      <c r="K46" s="10" t="s">
        <v>82</v>
      </c>
      <c r="L46" s="10" t="s">
        <v>306</v>
      </c>
      <c r="M46" s="10" t="s">
        <v>96</v>
      </c>
      <c r="N46" s="10" t="s">
        <v>32</v>
      </c>
      <c r="O46" s="10" t="s">
        <v>97</v>
      </c>
      <c r="P46" s="10" t="s">
        <v>314</v>
      </c>
      <c r="Q46" s="10" t="s">
        <v>865</v>
      </c>
      <c r="R46" s="10" t="s">
        <v>866</v>
      </c>
      <c r="S46" s="10" t="s">
        <v>182</v>
      </c>
      <c r="T46" s="10"/>
      <c r="V46" s="29" t="str">
        <f t="array" ref="V46">XLOOKUP($I46,TEST_HK_Coding!$I$5:$I$52,TEST_HK_Coding!$A$5:$A$52,"")</f>
        <v/>
      </c>
    </row>
    <row r="47" ht="16.5" customHeight="1">
      <c r="A47" s="71" t="s">
        <v>694</v>
      </c>
      <c r="B47" s="10" t="s">
        <v>90</v>
      </c>
      <c r="C47" s="10" t="s">
        <v>472</v>
      </c>
      <c r="D47" s="10"/>
      <c r="E47" s="10" t="s">
        <v>578</v>
      </c>
      <c r="F47" s="10" t="s">
        <v>867</v>
      </c>
      <c r="G47" s="10" t="s">
        <v>94</v>
      </c>
      <c r="H47" s="47">
        <v>45513.0</v>
      </c>
      <c r="I47" s="12" t="s">
        <v>595</v>
      </c>
      <c r="J47" s="10" t="s">
        <v>57</v>
      </c>
      <c r="K47" s="10" t="s">
        <v>82</v>
      </c>
      <c r="L47" s="10" t="s">
        <v>103</v>
      </c>
      <c r="M47" s="10" t="s">
        <v>96</v>
      </c>
      <c r="N47" s="10" t="s">
        <v>32</v>
      </c>
      <c r="O47" s="10" t="s">
        <v>97</v>
      </c>
      <c r="P47" s="10" t="s">
        <v>111</v>
      </c>
      <c r="Q47" s="10" t="s">
        <v>596</v>
      </c>
      <c r="R47" s="10" t="s">
        <v>868</v>
      </c>
      <c r="S47" s="10" t="s">
        <v>219</v>
      </c>
      <c r="T47" s="10"/>
      <c r="U47" s="18" t="s">
        <v>182</v>
      </c>
      <c r="V47" s="29" t="str">
        <f t="array" ref="V47">XLOOKUP($I47,TEST_HK_Coding!$I$5:$I$52,TEST_HK_Coding!$A$5:$A$52,"")</f>
        <v>HK-024</v>
      </c>
    </row>
    <row r="48" ht="16.5" customHeight="1">
      <c r="A48" s="9" t="s">
        <v>698</v>
      </c>
      <c r="B48" s="10" t="s">
        <v>90</v>
      </c>
      <c r="C48" s="10" t="s">
        <v>472</v>
      </c>
      <c r="D48" s="10" t="s">
        <v>869</v>
      </c>
      <c r="E48" s="10" t="s">
        <v>578</v>
      </c>
      <c r="F48" s="10" t="s">
        <v>870</v>
      </c>
      <c r="G48" s="10" t="s">
        <v>132</v>
      </c>
      <c r="H48" s="10">
        <v>2026.0</v>
      </c>
      <c r="I48" s="12" t="s">
        <v>871</v>
      </c>
      <c r="J48" s="10" t="s">
        <v>29</v>
      </c>
      <c r="K48" s="10" t="s">
        <v>30</v>
      </c>
      <c r="L48" s="10" t="s">
        <v>313</v>
      </c>
      <c r="M48" s="10" t="s">
        <v>32</v>
      </c>
      <c r="N48" s="10" t="s">
        <v>45</v>
      </c>
      <c r="O48" s="10" t="s">
        <v>97</v>
      </c>
      <c r="P48" s="10" t="s">
        <v>314</v>
      </c>
      <c r="Q48" s="10" t="s">
        <v>872</v>
      </c>
      <c r="R48" s="10" t="s">
        <v>873</v>
      </c>
      <c r="S48" s="10" t="s">
        <v>182</v>
      </c>
      <c r="T48" s="10"/>
      <c r="V48" s="29" t="str">
        <f t="array" ref="V48">XLOOKUP($I48,TEST_HK_Coding!$I$5:$I$52,TEST_HK_Coding!$A$5:$A$52,"")</f>
        <v/>
      </c>
    </row>
    <row r="49" ht="16.5" customHeight="1">
      <c r="A49" s="9" t="s">
        <v>701</v>
      </c>
      <c r="B49" s="10" t="s">
        <v>90</v>
      </c>
      <c r="C49" s="10" t="s">
        <v>472</v>
      </c>
      <c r="D49" s="10" t="s">
        <v>874</v>
      </c>
      <c r="E49" s="10" t="s">
        <v>578</v>
      </c>
      <c r="F49" s="10" t="s">
        <v>875</v>
      </c>
      <c r="G49" s="10" t="s">
        <v>132</v>
      </c>
      <c r="H49" s="10">
        <v>2026.0</v>
      </c>
      <c r="I49" s="12" t="s">
        <v>876</v>
      </c>
      <c r="J49" s="10" t="s">
        <v>42</v>
      </c>
      <c r="K49" s="10" t="s">
        <v>30</v>
      </c>
      <c r="L49" s="10" t="s">
        <v>306</v>
      </c>
      <c r="M49" s="10" t="s">
        <v>44</v>
      </c>
      <c r="N49" s="10" t="s">
        <v>96</v>
      </c>
      <c r="O49" s="10" t="s">
        <v>300</v>
      </c>
      <c r="P49" s="10" t="s">
        <v>314</v>
      </c>
      <c r="Q49" s="10" t="s">
        <v>877</v>
      </c>
      <c r="R49" s="10" t="s">
        <v>878</v>
      </c>
      <c r="S49" s="10" t="s">
        <v>182</v>
      </c>
      <c r="T49" s="10"/>
      <c r="V49" s="29" t="str">
        <f t="array" ref="V49">XLOOKUP($I49,TEST_HK_Coding!$I$5:$I$52,TEST_HK_Coding!$A$5:$A$52,"")</f>
        <v/>
      </c>
    </row>
    <row r="50" ht="16.5" customHeight="1">
      <c r="A50" s="71" t="s">
        <v>704</v>
      </c>
      <c r="B50" s="10" t="s">
        <v>352</v>
      </c>
      <c r="C50" s="10" t="s">
        <v>472</v>
      </c>
      <c r="D50" s="10" t="s">
        <v>879</v>
      </c>
      <c r="E50" s="10" t="s">
        <v>578</v>
      </c>
      <c r="F50" s="10" t="s">
        <v>600</v>
      </c>
      <c r="G50" s="10" t="s">
        <v>94</v>
      </c>
      <c r="H50" s="47">
        <v>45673.0</v>
      </c>
      <c r="I50" s="12" t="s">
        <v>601</v>
      </c>
      <c r="J50" s="10" t="s">
        <v>57</v>
      </c>
      <c r="K50" s="10" t="s">
        <v>58</v>
      </c>
      <c r="L50" s="10" t="s">
        <v>306</v>
      </c>
      <c r="M50" s="10" t="s">
        <v>96</v>
      </c>
      <c r="N50" s="10"/>
      <c r="O50" s="10" t="s">
        <v>110</v>
      </c>
      <c r="P50" s="10" t="s">
        <v>314</v>
      </c>
      <c r="Q50" s="10" t="s">
        <v>880</v>
      </c>
      <c r="R50" s="10" t="s">
        <v>881</v>
      </c>
      <c r="S50" s="10" t="s">
        <v>219</v>
      </c>
      <c r="T50" s="10"/>
      <c r="U50" s="18" t="s">
        <v>182</v>
      </c>
      <c r="V50" s="29" t="str">
        <f t="array" ref="V50">XLOOKUP($I50,TEST_HK_Coding!$I$5:$I$52,TEST_HK_Coding!$A$5:$A$52,"")</f>
        <v>HK-025</v>
      </c>
    </row>
    <row r="51" ht="16.5" customHeight="1">
      <c r="A51" s="9" t="s">
        <v>708</v>
      </c>
      <c r="B51" s="10" t="s">
        <v>352</v>
      </c>
      <c r="C51" s="10" t="s">
        <v>472</v>
      </c>
      <c r="D51" s="10" t="s">
        <v>879</v>
      </c>
      <c r="E51" s="10" t="s">
        <v>578</v>
      </c>
      <c r="F51" s="10" t="s">
        <v>882</v>
      </c>
      <c r="G51" s="10" t="s">
        <v>71</v>
      </c>
      <c r="H51" s="47">
        <v>45922.0</v>
      </c>
      <c r="I51" s="12" t="s">
        <v>883</v>
      </c>
      <c r="J51" s="10" t="s">
        <v>29</v>
      </c>
      <c r="K51" s="10" t="s">
        <v>82</v>
      </c>
      <c r="L51" s="10" t="s">
        <v>355</v>
      </c>
      <c r="M51" s="10" t="s">
        <v>96</v>
      </c>
      <c r="N51" s="10"/>
      <c r="O51" s="10" t="s">
        <v>97</v>
      </c>
      <c r="P51" s="10" t="s">
        <v>151</v>
      </c>
      <c r="Q51" s="18"/>
      <c r="R51" s="10" t="s">
        <v>884</v>
      </c>
      <c r="S51" s="10" t="s">
        <v>182</v>
      </c>
      <c r="T51" s="10"/>
      <c r="V51" s="29" t="str">
        <f t="array" ref="V51">XLOOKUP($I51,TEST_HK_Coding!$I$5:$I$52,TEST_HK_Coding!$A$5:$A$52,"")</f>
        <v/>
      </c>
    </row>
    <row r="52" ht="16.5" customHeight="1">
      <c r="A52" s="9" t="s">
        <v>712</v>
      </c>
      <c r="B52" s="10" t="s">
        <v>352</v>
      </c>
      <c r="C52" s="10" t="s">
        <v>472</v>
      </c>
      <c r="D52" s="10" t="s">
        <v>885</v>
      </c>
      <c r="E52" s="10" t="s">
        <v>578</v>
      </c>
      <c r="F52" s="10" t="s">
        <v>886</v>
      </c>
      <c r="G52" s="10" t="s">
        <v>27</v>
      </c>
      <c r="H52" s="47">
        <v>45931.0</v>
      </c>
      <c r="I52" s="12" t="s">
        <v>887</v>
      </c>
      <c r="J52" s="10" t="s">
        <v>57</v>
      </c>
      <c r="K52" s="10" t="s">
        <v>82</v>
      </c>
      <c r="L52" s="10" t="s">
        <v>313</v>
      </c>
      <c r="M52" s="10" t="s">
        <v>96</v>
      </c>
      <c r="N52" s="10"/>
      <c r="O52" s="10" t="s">
        <v>97</v>
      </c>
      <c r="P52" s="10" t="s">
        <v>151</v>
      </c>
      <c r="Q52" s="18" t="s">
        <v>888</v>
      </c>
      <c r="R52" s="10" t="s">
        <v>889</v>
      </c>
      <c r="S52" s="10" t="s">
        <v>182</v>
      </c>
      <c r="T52" s="10"/>
      <c r="V52" s="29" t="str">
        <f t="array" ref="V52">XLOOKUP($I52,TEST_HK_Coding!$I$5:$I$52,TEST_HK_Coding!$A$5:$A$52,"")</f>
        <v/>
      </c>
    </row>
    <row r="53" ht="16.5" customHeight="1">
      <c r="A53" s="9" t="s">
        <v>890</v>
      </c>
      <c r="B53" s="10" t="s">
        <v>352</v>
      </c>
      <c r="C53" s="10" t="s">
        <v>472</v>
      </c>
      <c r="D53" s="10" t="s">
        <v>891</v>
      </c>
      <c r="E53" s="10" t="s">
        <v>578</v>
      </c>
      <c r="F53" s="10" t="s">
        <v>892</v>
      </c>
      <c r="G53" s="10" t="s">
        <v>94</v>
      </c>
      <c r="H53" s="10" t="s">
        <v>754</v>
      </c>
      <c r="I53" s="12" t="s">
        <v>893</v>
      </c>
      <c r="J53" s="10" t="s">
        <v>57</v>
      </c>
      <c r="K53" s="10" t="s">
        <v>82</v>
      </c>
      <c r="L53" s="10" t="s">
        <v>355</v>
      </c>
      <c r="M53" s="10" t="s">
        <v>96</v>
      </c>
      <c r="N53" s="10"/>
      <c r="O53" s="10" t="s">
        <v>110</v>
      </c>
      <c r="P53" s="10" t="s">
        <v>151</v>
      </c>
      <c r="Q53" s="10" t="s">
        <v>894</v>
      </c>
      <c r="R53" s="10" t="s">
        <v>895</v>
      </c>
      <c r="S53" s="10" t="s">
        <v>182</v>
      </c>
      <c r="T53" s="10"/>
      <c r="V53" s="29" t="str">
        <f t="array" ref="V53">XLOOKUP($I53,TEST_HK_Coding!$I$5:$I$52,TEST_HK_Coding!$A$5:$A$52,"")</f>
        <v/>
      </c>
    </row>
    <row r="54" ht="16.5" customHeight="1">
      <c r="A54" s="9" t="s">
        <v>896</v>
      </c>
      <c r="B54" s="10" t="s">
        <v>352</v>
      </c>
      <c r="C54" s="10" t="s">
        <v>472</v>
      </c>
      <c r="D54" s="10" t="s">
        <v>897</v>
      </c>
      <c r="E54" s="10" t="s">
        <v>578</v>
      </c>
      <c r="F54" s="10" t="s">
        <v>898</v>
      </c>
      <c r="G54" s="10" t="s">
        <v>94</v>
      </c>
      <c r="H54" s="10" t="s">
        <v>754</v>
      </c>
      <c r="I54" s="81" t="s">
        <v>899</v>
      </c>
      <c r="J54" s="10" t="s">
        <v>29</v>
      </c>
      <c r="K54" s="10" t="s">
        <v>82</v>
      </c>
      <c r="L54" s="10" t="s">
        <v>306</v>
      </c>
      <c r="M54" s="10" t="s">
        <v>44</v>
      </c>
      <c r="N54" s="10" t="s">
        <v>96</v>
      </c>
      <c r="O54" s="10" t="s">
        <v>97</v>
      </c>
      <c r="P54" s="10" t="s">
        <v>314</v>
      </c>
      <c r="Q54" s="10" t="s">
        <v>900</v>
      </c>
      <c r="R54" s="10" t="s">
        <v>901</v>
      </c>
      <c r="S54" s="10" t="s">
        <v>182</v>
      </c>
      <c r="T54" s="10"/>
      <c r="V54" s="29" t="str">
        <f t="array" ref="V54">XLOOKUP($I54,TEST_HK_Coding!$I$5:$I$52,TEST_HK_Coding!$A$5:$A$52,"")</f>
        <v/>
      </c>
    </row>
    <row r="55" ht="16.5" customHeight="1">
      <c r="A55" s="71" t="s">
        <v>902</v>
      </c>
      <c r="B55" s="10" t="s">
        <v>174</v>
      </c>
      <c r="C55" s="10" t="s">
        <v>472</v>
      </c>
      <c r="D55" s="10"/>
      <c r="E55" s="10" t="s">
        <v>578</v>
      </c>
      <c r="F55" s="10" t="s">
        <v>903</v>
      </c>
      <c r="G55" s="10" t="s">
        <v>177</v>
      </c>
      <c r="H55" s="10" t="s">
        <v>754</v>
      </c>
      <c r="I55" s="12" t="s">
        <v>616</v>
      </c>
      <c r="J55" s="10" t="s">
        <v>29</v>
      </c>
      <c r="K55" s="10" t="s">
        <v>30</v>
      </c>
      <c r="L55" s="10" t="s">
        <v>313</v>
      </c>
      <c r="M55" s="10" t="s">
        <v>96</v>
      </c>
      <c r="N55" s="10" t="s">
        <v>33</v>
      </c>
      <c r="O55" s="10" t="s">
        <v>97</v>
      </c>
      <c r="P55" s="10" t="s">
        <v>151</v>
      </c>
      <c r="Q55" s="10" t="s">
        <v>617</v>
      </c>
      <c r="R55" s="10" t="s">
        <v>904</v>
      </c>
      <c r="S55" s="10" t="s">
        <v>182</v>
      </c>
      <c r="T55" s="10"/>
      <c r="V55" s="29" t="str">
        <f t="array" ref="V55">XLOOKUP($I55,TEST_HK_Coding!$I$5:$I$52,TEST_HK_Coding!$A$5:$A$52,"")</f>
        <v>HK-028</v>
      </c>
    </row>
    <row r="56" ht="16.5" customHeight="1">
      <c r="A56" s="9" t="s">
        <v>905</v>
      </c>
      <c r="B56" s="10" t="s">
        <v>174</v>
      </c>
      <c r="C56" s="10" t="s">
        <v>472</v>
      </c>
      <c r="D56" s="10"/>
      <c r="E56" s="10" t="s">
        <v>578</v>
      </c>
      <c r="F56" s="10" t="s">
        <v>906</v>
      </c>
      <c r="G56" s="10" t="s">
        <v>177</v>
      </c>
      <c r="H56" s="10" t="s">
        <v>754</v>
      </c>
      <c r="I56" s="12" t="s">
        <v>907</v>
      </c>
      <c r="J56" s="10" t="s">
        <v>29</v>
      </c>
      <c r="K56" s="10" t="s">
        <v>30</v>
      </c>
      <c r="L56" s="10" t="s">
        <v>313</v>
      </c>
      <c r="M56" s="10" t="s">
        <v>96</v>
      </c>
      <c r="N56" s="10" t="s">
        <v>33</v>
      </c>
      <c r="O56" s="10" t="s">
        <v>97</v>
      </c>
      <c r="P56" s="10" t="s">
        <v>151</v>
      </c>
      <c r="Q56" s="10" t="s">
        <v>617</v>
      </c>
      <c r="R56" s="10" t="s">
        <v>908</v>
      </c>
      <c r="S56" s="10" t="s">
        <v>182</v>
      </c>
      <c r="T56" s="10"/>
      <c r="V56" s="29" t="str">
        <f t="array" ref="V56">XLOOKUP($I56,TEST_HK_Coding!$I$5:$I$52,TEST_HK_Coding!$A$5:$A$52,"")</f>
        <v/>
      </c>
    </row>
    <row r="57" ht="16.5" customHeight="1">
      <c r="A57" s="9" t="s">
        <v>909</v>
      </c>
      <c r="B57" s="10" t="s">
        <v>174</v>
      </c>
      <c r="C57" s="10" t="s">
        <v>472</v>
      </c>
      <c r="D57" s="10" t="s">
        <v>910</v>
      </c>
      <c r="E57" s="10" t="s">
        <v>578</v>
      </c>
      <c r="F57" s="10" t="s">
        <v>911</v>
      </c>
      <c r="G57" s="10" t="s">
        <v>177</v>
      </c>
      <c r="H57" s="10" t="s">
        <v>912</v>
      </c>
      <c r="I57" s="12" t="s">
        <v>913</v>
      </c>
      <c r="J57" s="10" t="s">
        <v>29</v>
      </c>
      <c r="K57" s="10" t="s">
        <v>30</v>
      </c>
      <c r="L57" s="10" t="s">
        <v>313</v>
      </c>
      <c r="M57" s="10" t="s">
        <v>96</v>
      </c>
      <c r="N57" s="10" t="s">
        <v>32</v>
      </c>
      <c r="O57" s="10" t="s">
        <v>97</v>
      </c>
      <c r="P57" s="10" t="s">
        <v>151</v>
      </c>
      <c r="Q57" s="10" t="s">
        <v>914</v>
      </c>
      <c r="R57" s="10" t="s">
        <v>915</v>
      </c>
      <c r="S57" s="10" t="s">
        <v>182</v>
      </c>
      <c r="T57" s="10"/>
      <c r="V57" s="29" t="str">
        <f t="array" ref="V57">XLOOKUP($I57,TEST_HK_Coding!$I$5:$I$52,TEST_HK_Coding!$A$5:$A$52,"")</f>
        <v/>
      </c>
    </row>
    <row r="58" ht="16.5" customHeight="1">
      <c r="A58" s="9" t="s">
        <v>916</v>
      </c>
      <c r="B58" s="10" t="s">
        <v>174</v>
      </c>
      <c r="C58" s="10" t="s">
        <v>472</v>
      </c>
      <c r="D58" s="10"/>
      <c r="E58" s="10" t="s">
        <v>578</v>
      </c>
      <c r="F58" s="10" t="s">
        <v>917</v>
      </c>
      <c r="G58" s="10" t="s">
        <v>177</v>
      </c>
      <c r="H58" s="10" t="s">
        <v>754</v>
      </c>
      <c r="I58" s="12" t="s">
        <v>918</v>
      </c>
      <c r="J58" s="10" t="s">
        <v>57</v>
      </c>
      <c r="K58" s="10" t="s">
        <v>30</v>
      </c>
      <c r="L58" s="10" t="s">
        <v>355</v>
      </c>
      <c r="M58" s="10" t="s">
        <v>44</v>
      </c>
      <c r="N58" s="10" t="s">
        <v>96</v>
      </c>
      <c r="O58" s="10" t="s">
        <v>110</v>
      </c>
      <c r="P58" s="10" t="s">
        <v>151</v>
      </c>
      <c r="Q58" s="10" t="s">
        <v>919</v>
      </c>
      <c r="R58" s="10" t="s">
        <v>920</v>
      </c>
      <c r="S58" s="10" t="s">
        <v>182</v>
      </c>
      <c r="T58" s="10"/>
      <c r="V58" s="29" t="str">
        <f t="array" ref="V58">XLOOKUP($I58,TEST_HK_Coding!$I$5:$I$52,TEST_HK_Coding!$A$5:$A$52,"")</f>
        <v/>
      </c>
    </row>
    <row r="59" ht="16.5" customHeight="1">
      <c r="A59" s="9" t="s">
        <v>921</v>
      </c>
      <c r="B59" s="10" t="s">
        <v>174</v>
      </c>
      <c r="C59" s="10" t="s">
        <v>472</v>
      </c>
      <c r="D59" s="10"/>
      <c r="E59" s="10" t="s">
        <v>578</v>
      </c>
      <c r="F59" s="10" t="s">
        <v>922</v>
      </c>
      <c r="G59" s="10" t="s">
        <v>177</v>
      </c>
      <c r="H59" s="10" t="s">
        <v>754</v>
      </c>
      <c r="I59" s="12" t="s">
        <v>923</v>
      </c>
      <c r="J59" s="10" t="s">
        <v>42</v>
      </c>
      <c r="K59" s="10" t="s">
        <v>82</v>
      </c>
      <c r="L59" s="10" t="s">
        <v>103</v>
      </c>
      <c r="M59" s="10" t="s">
        <v>96</v>
      </c>
      <c r="N59" s="10" t="s">
        <v>44</v>
      </c>
      <c r="O59" s="10" t="s">
        <v>300</v>
      </c>
      <c r="P59" s="10" t="s">
        <v>151</v>
      </c>
      <c r="Q59" s="10" t="s">
        <v>924</v>
      </c>
      <c r="R59" s="10" t="s">
        <v>925</v>
      </c>
      <c r="S59" s="10" t="s">
        <v>182</v>
      </c>
      <c r="T59" s="10"/>
      <c r="V59" s="29" t="str">
        <f t="array" ref="V59">XLOOKUP($I59,TEST_HK_Coding!$I$5:$I$52,TEST_HK_Coding!$A$5:$A$52,"")</f>
        <v/>
      </c>
    </row>
    <row r="60" ht="16.5" customHeight="1">
      <c r="B60" s="10"/>
      <c r="C60" s="10"/>
      <c r="D60" s="10"/>
      <c r="E60" s="10"/>
      <c r="F60" s="10"/>
      <c r="G60" s="10"/>
      <c r="H60" s="47"/>
      <c r="I60" s="10"/>
      <c r="J60" s="10"/>
      <c r="K60" s="10"/>
      <c r="L60" s="10"/>
      <c r="M60" s="10"/>
      <c r="N60" s="10"/>
      <c r="O60" s="10"/>
      <c r="P60" s="10"/>
      <c r="Q60" s="10"/>
      <c r="R60" s="10"/>
      <c r="S60" s="10"/>
      <c r="T60" s="10"/>
    </row>
    <row r="61" ht="16.5" customHeight="1">
      <c r="B61" s="10"/>
      <c r="C61" s="10"/>
      <c r="D61" s="10"/>
      <c r="E61" s="10"/>
      <c r="F61" s="10"/>
      <c r="G61" s="10"/>
      <c r="H61" s="47"/>
      <c r="I61" s="10"/>
      <c r="J61" s="10"/>
      <c r="K61" s="10"/>
      <c r="L61" s="10"/>
      <c r="M61" s="10"/>
      <c r="N61" s="10"/>
      <c r="O61" s="10"/>
      <c r="P61" s="10"/>
      <c r="Q61" s="10"/>
      <c r="R61" s="10"/>
      <c r="S61" s="10"/>
      <c r="T61" s="10"/>
    </row>
    <row r="62" ht="16.5" customHeight="1">
      <c r="B62" s="10"/>
      <c r="C62" s="10"/>
      <c r="D62" s="10"/>
      <c r="E62" s="10"/>
      <c r="F62" s="10"/>
      <c r="G62" s="10"/>
      <c r="H62" s="47"/>
      <c r="I62" s="10"/>
      <c r="J62" s="10"/>
      <c r="K62" s="10"/>
      <c r="L62" s="10"/>
      <c r="M62" s="10"/>
      <c r="N62" s="10"/>
      <c r="O62" s="10"/>
      <c r="P62" s="10"/>
      <c r="Q62" s="10"/>
      <c r="R62" s="10"/>
      <c r="S62" s="10"/>
      <c r="T62" s="10"/>
    </row>
    <row r="63" ht="16.5" customHeight="1">
      <c r="B63" s="10"/>
      <c r="C63" s="10"/>
      <c r="D63" s="10"/>
      <c r="E63" s="10"/>
      <c r="F63" s="10"/>
      <c r="G63" s="10"/>
      <c r="H63" s="47"/>
      <c r="I63" s="10"/>
      <c r="J63" s="10"/>
      <c r="K63" s="10"/>
      <c r="L63" s="10"/>
      <c r="M63" s="10"/>
      <c r="N63" s="10"/>
      <c r="O63" s="10"/>
      <c r="P63" s="10"/>
      <c r="Q63" s="10"/>
      <c r="R63" s="10"/>
      <c r="S63" s="10"/>
      <c r="T63" s="10"/>
    </row>
    <row r="64" ht="16.5" customHeight="1">
      <c r="A64" s="10"/>
      <c r="B64" s="10"/>
      <c r="C64" s="10"/>
      <c r="D64" s="10"/>
      <c r="E64" s="10"/>
      <c r="F64" s="10"/>
      <c r="G64" s="10"/>
      <c r="H64" s="47"/>
      <c r="I64" s="10"/>
      <c r="J64" s="10"/>
      <c r="K64" s="10"/>
      <c r="L64" s="10"/>
      <c r="M64" s="10"/>
      <c r="N64" s="10"/>
      <c r="O64" s="10"/>
      <c r="P64" s="10"/>
      <c r="Q64" s="10"/>
      <c r="R64" s="10"/>
      <c r="S64" s="10"/>
      <c r="T64" s="10"/>
    </row>
    <row r="65" ht="16.5" customHeight="1">
      <c r="A65" s="10"/>
      <c r="B65" s="10"/>
      <c r="C65" s="10"/>
      <c r="D65" s="10"/>
      <c r="E65" s="10"/>
      <c r="F65" s="10"/>
      <c r="G65" s="10"/>
      <c r="H65" s="47"/>
      <c r="I65" s="10"/>
      <c r="J65" s="10"/>
      <c r="K65" s="10"/>
      <c r="L65" s="10"/>
      <c r="M65" s="10"/>
      <c r="N65" s="10"/>
      <c r="O65" s="10"/>
      <c r="P65" s="10"/>
      <c r="Q65" s="10"/>
      <c r="R65" s="10"/>
      <c r="S65" s="10"/>
      <c r="T65" s="10"/>
    </row>
    <row r="66" ht="16.5" customHeight="1">
      <c r="A66" s="10"/>
      <c r="B66" s="10"/>
      <c r="C66" s="10"/>
      <c r="D66" s="10"/>
      <c r="E66" s="10"/>
      <c r="F66" s="10"/>
      <c r="G66" s="10"/>
      <c r="H66" s="47"/>
      <c r="I66" s="10"/>
      <c r="J66" s="10"/>
      <c r="K66" s="10"/>
      <c r="L66" s="10"/>
      <c r="M66" s="10"/>
      <c r="N66" s="10"/>
      <c r="O66" s="10"/>
      <c r="P66" s="10"/>
      <c r="Q66" s="10"/>
      <c r="R66" s="10"/>
      <c r="S66" s="10"/>
      <c r="T66" s="10"/>
    </row>
    <row r="67" ht="16.5" customHeight="1">
      <c r="A67" s="10"/>
      <c r="B67" s="10"/>
      <c r="C67" s="10"/>
      <c r="D67" s="10"/>
      <c r="E67" s="10"/>
      <c r="F67" s="10"/>
      <c r="G67" s="10"/>
      <c r="H67" s="47"/>
      <c r="I67" s="10"/>
      <c r="J67" s="10"/>
      <c r="K67" s="10"/>
      <c r="L67" s="10"/>
      <c r="M67" s="10"/>
      <c r="N67" s="10"/>
      <c r="O67" s="10"/>
      <c r="P67" s="10"/>
      <c r="Q67" s="10"/>
      <c r="R67" s="10"/>
      <c r="S67" s="10"/>
      <c r="T67" s="10"/>
    </row>
    <row r="68" ht="16.5" customHeight="1">
      <c r="A68" s="10"/>
      <c r="B68" s="10"/>
      <c r="C68" s="10"/>
      <c r="D68" s="10"/>
      <c r="E68" s="10"/>
      <c r="F68" s="10"/>
      <c r="G68" s="10"/>
      <c r="H68" s="47"/>
      <c r="I68" s="10"/>
      <c r="J68" s="10"/>
      <c r="K68" s="10"/>
      <c r="L68" s="10"/>
      <c r="M68" s="10"/>
      <c r="N68" s="10"/>
      <c r="O68" s="10"/>
      <c r="P68" s="10"/>
      <c r="Q68" s="10"/>
      <c r="R68" s="10"/>
      <c r="S68" s="10"/>
      <c r="T68" s="10"/>
    </row>
    <row r="69" ht="16.5" customHeight="1">
      <c r="A69" s="10"/>
      <c r="B69" s="10"/>
      <c r="C69" s="10"/>
      <c r="D69" s="10"/>
      <c r="E69" s="10"/>
      <c r="F69" s="10"/>
      <c r="G69" s="10"/>
      <c r="H69" s="47"/>
      <c r="I69" s="10"/>
      <c r="J69" s="10"/>
      <c r="K69" s="10"/>
      <c r="L69" s="10"/>
      <c r="M69" s="10"/>
      <c r="N69" s="10"/>
      <c r="O69" s="10"/>
      <c r="P69" s="10"/>
      <c r="Q69" s="10"/>
      <c r="R69" s="10"/>
      <c r="S69" s="10"/>
      <c r="T69" s="10"/>
    </row>
    <row r="70" ht="16.5" customHeight="1">
      <c r="B70" s="10"/>
      <c r="C70" s="10"/>
      <c r="D70" s="10"/>
      <c r="E70" s="10"/>
      <c r="F70" s="10"/>
      <c r="G70" s="10"/>
      <c r="H70" s="47"/>
      <c r="I70" s="10"/>
      <c r="J70" s="10"/>
      <c r="K70" s="10"/>
      <c r="L70" s="10"/>
      <c r="M70" s="10"/>
      <c r="N70" s="10"/>
      <c r="O70" s="10"/>
      <c r="P70" s="10"/>
      <c r="Q70" s="10"/>
      <c r="R70" s="10"/>
      <c r="S70" s="10"/>
      <c r="T70" s="10"/>
    </row>
    <row r="71" ht="16.5" customHeight="1">
      <c r="A71" s="10"/>
      <c r="B71" s="10"/>
      <c r="C71" s="10"/>
      <c r="D71" s="10"/>
      <c r="E71" s="10"/>
      <c r="F71" s="10"/>
      <c r="G71" s="10"/>
      <c r="H71" s="47"/>
      <c r="I71" s="10"/>
      <c r="J71" s="10"/>
      <c r="K71" s="10"/>
      <c r="L71" s="10"/>
      <c r="M71" s="10"/>
      <c r="N71" s="10"/>
      <c r="O71" s="10"/>
      <c r="P71" s="10"/>
      <c r="Q71" s="10"/>
      <c r="R71" s="10"/>
      <c r="S71" s="10"/>
      <c r="T71" s="10"/>
    </row>
    <row r="72" ht="16.5" customHeight="1">
      <c r="A72" s="10"/>
      <c r="B72" s="10"/>
      <c r="C72" s="10"/>
      <c r="D72" s="10"/>
      <c r="E72" s="10"/>
      <c r="F72" s="10"/>
      <c r="G72" s="10"/>
      <c r="H72" s="47"/>
      <c r="I72" s="10"/>
      <c r="J72" s="10"/>
      <c r="K72" s="10"/>
      <c r="L72" s="10"/>
      <c r="M72" s="10"/>
      <c r="N72" s="10"/>
      <c r="O72" s="10"/>
      <c r="P72" s="10"/>
      <c r="Q72" s="10"/>
      <c r="R72" s="10"/>
      <c r="S72" s="10"/>
      <c r="T72" s="10"/>
    </row>
    <row r="73" ht="16.5" customHeight="1">
      <c r="A73" s="10"/>
      <c r="B73" s="10"/>
      <c r="C73" s="10"/>
      <c r="D73" s="10"/>
      <c r="E73" s="10"/>
      <c r="F73" s="10"/>
      <c r="G73" s="10"/>
      <c r="H73" s="47"/>
      <c r="I73" s="10"/>
      <c r="J73" s="10"/>
      <c r="K73" s="10"/>
      <c r="L73" s="10"/>
      <c r="M73" s="10"/>
      <c r="N73" s="10"/>
      <c r="O73" s="10"/>
      <c r="P73" s="10"/>
      <c r="Q73" s="10"/>
      <c r="R73" s="10"/>
      <c r="S73" s="10"/>
      <c r="T73" s="10"/>
    </row>
    <row r="74" ht="16.5" customHeight="1">
      <c r="A74" s="10"/>
      <c r="B74" s="10"/>
      <c r="C74" s="10"/>
      <c r="D74" s="10"/>
      <c r="E74" s="10"/>
      <c r="F74" s="10"/>
      <c r="G74" s="10"/>
      <c r="H74" s="47"/>
      <c r="I74" s="10"/>
      <c r="J74" s="10"/>
      <c r="K74" s="10"/>
      <c r="L74" s="10"/>
      <c r="M74" s="10"/>
      <c r="N74" s="10"/>
      <c r="O74" s="10"/>
      <c r="P74" s="10"/>
      <c r="Q74" s="10"/>
      <c r="R74" s="10"/>
      <c r="S74" s="10"/>
      <c r="T74" s="10"/>
    </row>
    <row r="75" ht="16.5" customHeight="1">
      <c r="A75" s="10"/>
      <c r="B75" s="10"/>
      <c r="C75" s="10"/>
      <c r="D75" s="10"/>
      <c r="E75" s="10"/>
      <c r="F75" s="10"/>
      <c r="G75" s="10"/>
      <c r="H75" s="47"/>
      <c r="I75" s="10"/>
      <c r="J75" s="10"/>
      <c r="K75" s="10"/>
      <c r="L75" s="10"/>
      <c r="M75" s="10"/>
      <c r="N75" s="10"/>
      <c r="O75" s="10"/>
      <c r="P75" s="10"/>
      <c r="Q75" s="10"/>
      <c r="R75" s="10"/>
      <c r="S75" s="10"/>
      <c r="T75" s="10"/>
    </row>
    <row r="76" ht="16.5" customHeight="1">
      <c r="A76" s="10"/>
      <c r="B76" s="10"/>
      <c r="C76" s="10"/>
      <c r="D76" s="10"/>
      <c r="E76" s="10"/>
      <c r="F76" s="10"/>
      <c r="G76" s="10"/>
      <c r="H76" s="47"/>
      <c r="I76" s="10"/>
      <c r="J76" s="10"/>
      <c r="K76" s="10"/>
      <c r="L76" s="10"/>
      <c r="M76" s="10"/>
      <c r="N76" s="10"/>
      <c r="O76" s="10"/>
      <c r="P76" s="10"/>
      <c r="Q76" s="10"/>
      <c r="R76" s="10"/>
      <c r="S76" s="10"/>
      <c r="T76" s="10"/>
    </row>
    <row r="77" ht="16.5" customHeight="1">
      <c r="A77" s="10"/>
      <c r="B77" s="10"/>
      <c r="C77" s="10"/>
      <c r="D77" s="10"/>
      <c r="E77" s="10"/>
      <c r="F77" s="10"/>
      <c r="G77" s="10"/>
      <c r="H77" s="47"/>
      <c r="I77" s="10"/>
      <c r="J77" s="10"/>
      <c r="K77" s="10"/>
      <c r="L77" s="10"/>
      <c r="M77" s="10"/>
      <c r="N77" s="10"/>
      <c r="O77" s="10"/>
      <c r="P77" s="10"/>
      <c r="Q77" s="10"/>
      <c r="R77" s="10"/>
      <c r="S77" s="10"/>
      <c r="T77" s="10"/>
    </row>
    <row r="78" ht="16.5" customHeight="1">
      <c r="A78" s="10"/>
      <c r="B78" s="10"/>
      <c r="C78" s="10"/>
      <c r="D78" s="10"/>
      <c r="E78" s="10"/>
      <c r="F78" s="10"/>
      <c r="G78" s="10"/>
      <c r="H78" s="47"/>
      <c r="I78" s="10"/>
      <c r="J78" s="10"/>
      <c r="K78" s="10"/>
      <c r="L78" s="10"/>
      <c r="M78" s="10"/>
      <c r="N78" s="10"/>
      <c r="O78" s="10"/>
      <c r="P78" s="10"/>
      <c r="Q78" s="10"/>
      <c r="R78" s="10"/>
      <c r="S78" s="10"/>
      <c r="T78" s="10"/>
    </row>
    <row r="79" ht="16.5" customHeight="1">
      <c r="A79" s="10"/>
      <c r="B79" s="10"/>
      <c r="C79" s="10"/>
      <c r="D79" s="10"/>
      <c r="E79" s="10"/>
      <c r="F79" s="10"/>
      <c r="G79" s="10"/>
      <c r="H79" s="47"/>
      <c r="I79" s="10"/>
      <c r="J79" s="10"/>
      <c r="K79" s="10"/>
      <c r="L79" s="10"/>
      <c r="M79" s="10"/>
      <c r="N79" s="10"/>
      <c r="O79" s="10"/>
      <c r="P79" s="10"/>
      <c r="Q79" s="10"/>
      <c r="R79" s="10"/>
      <c r="S79" s="10"/>
      <c r="T79" s="10"/>
    </row>
    <row r="80" ht="16.5" customHeight="1">
      <c r="A80" s="10"/>
      <c r="B80" s="10"/>
      <c r="C80" s="10"/>
      <c r="D80" s="10"/>
      <c r="E80" s="10"/>
      <c r="F80" s="10"/>
      <c r="G80" s="10"/>
      <c r="H80" s="47"/>
      <c r="I80" s="10"/>
      <c r="J80" s="10"/>
      <c r="K80" s="10"/>
      <c r="L80" s="10"/>
      <c r="M80" s="10"/>
      <c r="N80" s="10"/>
      <c r="O80" s="10"/>
      <c r="P80" s="10"/>
      <c r="Q80" s="10"/>
      <c r="R80" s="10"/>
      <c r="S80" s="10"/>
      <c r="T80" s="10"/>
    </row>
    <row r="81" ht="16.5" customHeight="1">
      <c r="A81" s="10"/>
      <c r="B81" s="10"/>
      <c r="C81" s="10"/>
      <c r="D81" s="10"/>
      <c r="E81" s="10"/>
      <c r="F81" s="10"/>
      <c r="G81" s="10"/>
      <c r="H81" s="47"/>
      <c r="I81" s="10"/>
      <c r="J81" s="10"/>
      <c r="K81" s="10"/>
      <c r="L81" s="10"/>
      <c r="M81" s="10"/>
      <c r="N81" s="10"/>
      <c r="O81" s="10"/>
      <c r="P81" s="10"/>
      <c r="Q81" s="10"/>
      <c r="R81" s="10"/>
      <c r="S81" s="10"/>
      <c r="T81" s="10"/>
    </row>
    <row r="82" ht="16.5" customHeight="1">
      <c r="H82" s="59"/>
    </row>
    <row r="83" ht="16.5" customHeight="1">
      <c r="H83" s="59"/>
    </row>
    <row r="84" ht="16.5" customHeight="1">
      <c r="H84" s="59"/>
    </row>
    <row r="85" ht="16.5" customHeight="1">
      <c r="H85" s="59"/>
    </row>
    <row r="86" ht="16.5" customHeight="1">
      <c r="H86" s="59"/>
    </row>
    <row r="87" ht="16.5" customHeight="1">
      <c r="H87" s="59"/>
    </row>
    <row r="88" ht="16.5" customHeight="1">
      <c r="H88" s="59"/>
    </row>
    <row r="89" ht="16.5" customHeight="1">
      <c r="H89" s="59"/>
    </row>
    <row r="90" ht="16.5" customHeight="1">
      <c r="H90" s="59"/>
    </row>
    <row r="91" ht="16.5" customHeight="1">
      <c r="H91" s="59"/>
    </row>
    <row r="92" ht="16.5" customHeight="1">
      <c r="H92" s="59"/>
    </row>
    <row r="93" ht="16.5" customHeight="1">
      <c r="H93" s="59"/>
    </row>
    <row r="94" ht="16.5" customHeight="1">
      <c r="H94" s="59"/>
    </row>
    <row r="95" ht="16.5" customHeight="1">
      <c r="H95" s="59"/>
    </row>
    <row r="96" ht="16.5" customHeight="1">
      <c r="H96" s="59"/>
    </row>
    <row r="97" ht="16.5" customHeight="1">
      <c r="H97" s="59"/>
    </row>
    <row r="98" ht="16.5" customHeight="1">
      <c r="H98" s="59"/>
    </row>
    <row r="99" ht="16.5" customHeight="1">
      <c r="H99" s="59"/>
    </row>
    <row r="100" ht="16.5" customHeight="1">
      <c r="H100" s="59"/>
    </row>
    <row r="101" ht="16.5" customHeight="1">
      <c r="H101" s="59"/>
    </row>
    <row r="102" ht="16.5" customHeight="1">
      <c r="H102" s="59"/>
    </row>
    <row r="103" ht="16.5" customHeight="1">
      <c r="H103" s="59"/>
    </row>
    <row r="104" ht="16.5" customHeight="1">
      <c r="H104" s="59"/>
    </row>
    <row r="105" ht="16.5" customHeight="1">
      <c r="H105" s="59"/>
    </row>
    <row r="106" ht="16.5" customHeight="1">
      <c r="H106" s="59"/>
    </row>
    <row r="107" ht="16.5" customHeight="1">
      <c r="H107" s="59"/>
    </row>
    <row r="108" ht="16.5" customHeight="1">
      <c r="H108" s="59"/>
    </row>
    <row r="109" ht="16.5" customHeight="1">
      <c r="H109" s="59"/>
    </row>
    <row r="110" ht="16.5" customHeight="1">
      <c r="H110" s="59"/>
    </row>
    <row r="111" ht="16.5" customHeight="1">
      <c r="H111" s="59"/>
    </row>
    <row r="112" ht="16.5" customHeight="1">
      <c r="H112" s="59"/>
    </row>
    <row r="113" ht="16.5" customHeight="1">
      <c r="H113" s="59"/>
    </row>
    <row r="114" ht="16.5" customHeight="1">
      <c r="H114" s="59"/>
    </row>
    <row r="115" ht="16.5" customHeight="1">
      <c r="H115" s="59"/>
    </row>
    <row r="116" ht="16.5" customHeight="1">
      <c r="H116" s="59"/>
    </row>
    <row r="117" ht="16.5" customHeight="1">
      <c r="H117" s="59"/>
    </row>
    <row r="118" ht="16.5" customHeight="1">
      <c r="H118" s="59"/>
    </row>
    <row r="119" ht="16.5" customHeight="1">
      <c r="H119" s="59"/>
    </row>
    <row r="120" ht="16.5" customHeight="1">
      <c r="H120" s="59"/>
    </row>
    <row r="121" ht="16.5" customHeight="1">
      <c r="H121" s="59"/>
    </row>
    <row r="122" ht="16.5" customHeight="1">
      <c r="H122" s="59"/>
    </row>
    <row r="123" ht="16.5" customHeight="1">
      <c r="H123" s="59"/>
    </row>
    <row r="124" ht="16.5" customHeight="1">
      <c r="H124" s="59"/>
    </row>
    <row r="125" ht="16.5" customHeight="1">
      <c r="H125" s="59"/>
    </row>
    <row r="126" ht="16.5" customHeight="1">
      <c r="H126" s="59"/>
    </row>
    <row r="127" ht="16.5" customHeight="1">
      <c r="H127" s="59"/>
    </row>
    <row r="128" ht="16.5" customHeight="1">
      <c r="H128" s="59"/>
    </row>
    <row r="129" ht="16.5" customHeight="1">
      <c r="H129" s="59"/>
    </row>
    <row r="130" ht="16.5" customHeight="1">
      <c r="H130" s="59"/>
    </row>
    <row r="131" ht="16.5" customHeight="1">
      <c r="H131" s="59"/>
    </row>
    <row r="132" ht="16.5" customHeight="1">
      <c r="H132" s="59"/>
    </row>
    <row r="133" ht="16.5" customHeight="1">
      <c r="H133" s="59"/>
    </row>
    <row r="134" ht="16.5" customHeight="1">
      <c r="H134" s="59"/>
    </row>
    <row r="135" ht="16.5" customHeight="1">
      <c r="H135" s="59"/>
    </row>
    <row r="136" ht="16.5" customHeight="1">
      <c r="H136" s="59"/>
    </row>
    <row r="137" ht="16.5" customHeight="1">
      <c r="H137" s="59"/>
    </row>
    <row r="138" ht="16.5" customHeight="1">
      <c r="H138" s="59"/>
    </row>
    <row r="139" ht="16.5" customHeight="1">
      <c r="H139" s="59"/>
    </row>
    <row r="140" ht="16.5" customHeight="1">
      <c r="H140" s="59"/>
    </row>
    <row r="141" ht="16.5" customHeight="1">
      <c r="H141" s="59"/>
    </row>
    <row r="142" ht="16.5" customHeight="1">
      <c r="H142" s="59"/>
    </row>
    <row r="143" ht="16.5" customHeight="1">
      <c r="H143" s="59"/>
    </row>
    <row r="144" ht="16.5" customHeight="1">
      <c r="H144" s="59"/>
    </row>
    <row r="145" ht="16.5" customHeight="1">
      <c r="H145" s="59"/>
    </row>
    <row r="146" ht="16.5" customHeight="1">
      <c r="H146" s="59"/>
    </row>
    <row r="147" ht="16.5" customHeight="1">
      <c r="H147" s="59"/>
    </row>
    <row r="148" ht="16.5" customHeight="1">
      <c r="H148" s="59"/>
    </row>
    <row r="149" ht="16.5" customHeight="1">
      <c r="H149" s="59"/>
    </row>
    <row r="150" ht="16.5" customHeight="1">
      <c r="H150" s="59"/>
    </row>
    <row r="151" ht="16.5" customHeight="1">
      <c r="H151" s="59"/>
    </row>
    <row r="152" ht="16.5" customHeight="1">
      <c r="H152" s="59"/>
    </row>
    <row r="153" ht="16.5" customHeight="1">
      <c r="H153" s="59"/>
    </row>
    <row r="154" ht="16.5" customHeight="1">
      <c r="H154" s="59"/>
    </row>
    <row r="155" ht="16.5" customHeight="1">
      <c r="H155" s="59"/>
    </row>
    <row r="156" ht="16.5" customHeight="1">
      <c r="H156" s="59"/>
    </row>
    <row r="157" ht="16.5" customHeight="1">
      <c r="H157" s="59"/>
    </row>
    <row r="158" ht="16.5" customHeight="1">
      <c r="H158" s="59"/>
    </row>
    <row r="159" ht="16.5" customHeight="1">
      <c r="H159" s="59"/>
    </row>
    <row r="160" ht="16.5" customHeight="1">
      <c r="H160" s="59"/>
    </row>
    <row r="161" ht="16.5" customHeight="1">
      <c r="H161" s="59"/>
    </row>
    <row r="162" ht="16.5" customHeight="1">
      <c r="H162" s="59"/>
    </row>
    <row r="163" ht="16.5" customHeight="1">
      <c r="H163" s="59"/>
    </row>
    <row r="164" ht="16.5" customHeight="1">
      <c r="H164" s="59"/>
    </row>
    <row r="165" ht="16.5" customHeight="1">
      <c r="H165" s="59"/>
    </row>
    <row r="166" ht="16.5" customHeight="1">
      <c r="H166" s="59"/>
    </row>
    <row r="167" ht="16.5" customHeight="1">
      <c r="H167" s="59"/>
    </row>
    <row r="168" ht="16.5" customHeight="1">
      <c r="H168" s="59"/>
    </row>
    <row r="169" ht="16.5" customHeight="1">
      <c r="H169" s="59"/>
    </row>
    <row r="170" ht="16.5" customHeight="1">
      <c r="H170" s="59"/>
    </row>
    <row r="171" ht="16.5" customHeight="1">
      <c r="H171" s="59"/>
    </row>
    <row r="172" ht="16.5" customHeight="1">
      <c r="H172" s="59"/>
    </row>
    <row r="173" ht="16.5" customHeight="1">
      <c r="H173" s="59"/>
    </row>
    <row r="174" ht="16.5" customHeight="1">
      <c r="H174" s="59"/>
    </row>
    <row r="175" ht="16.5" customHeight="1">
      <c r="H175" s="59"/>
    </row>
    <row r="176" ht="16.5" customHeight="1">
      <c r="H176" s="59"/>
    </row>
    <row r="177" ht="16.5" customHeight="1">
      <c r="H177" s="59"/>
    </row>
    <row r="178" ht="16.5" customHeight="1">
      <c r="H178" s="59"/>
    </row>
    <row r="179" ht="16.5" customHeight="1">
      <c r="H179" s="59"/>
    </row>
    <row r="180" ht="16.5" customHeight="1">
      <c r="H180" s="59"/>
    </row>
    <row r="181" ht="16.5" customHeight="1">
      <c r="H181" s="59"/>
    </row>
    <row r="182" ht="16.5" customHeight="1">
      <c r="H182" s="59"/>
    </row>
    <row r="183" ht="16.5" customHeight="1">
      <c r="H183" s="59"/>
    </row>
    <row r="184" ht="16.5" customHeight="1">
      <c r="H184" s="59"/>
    </row>
    <row r="185" ht="16.5" customHeight="1">
      <c r="H185" s="59"/>
    </row>
    <row r="186" ht="16.5" customHeight="1">
      <c r="H186" s="59"/>
    </row>
    <row r="187" ht="16.5" customHeight="1">
      <c r="H187" s="59"/>
    </row>
    <row r="188" ht="16.5" customHeight="1">
      <c r="H188" s="59"/>
    </row>
    <row r="189" ht="16.5" customHeight="1">
      <c r="H189" s="59"/>
    </row>
    <row r="190" ht="16.5" customHeight="1">
      <c r="H190" s="59"/>
    </row>
    <row r="191" ht="16.5" customHeight="1">
      <c r="H191" s="59"/>
    </row>
    <row r="192" ht="16.5" customHeight="1">
      <c r="H192" s="59"/>
    </row>
    <row r="193" ht="16.5" customHeight="1">
      <c r="H193" s="59"/>
    </row>
    <row r="194" ht="16.5" customHeight="1">
      <c r="H194" s="59"/>
    </row>
    <row r="195" ht="16.5" customHeight="1">
      <c r="H195" s="59"/>
    </row>
    <row r="196" ht="16.5" customHeight="1">
      <c r="H196" s="59"/>
    </row>
    <row r="197" ht="16.5" customHeight="1">
      <c r="H197" s="59"/>
    </row>
    <row r="198" ht="16.5" customHeight="1">
      <c r="H198" s="59"/>
    </row>
    <row r="199" ht="16.5" customHeight="1">
      <c r="H199" s="59"/>
    </row>
    <row r="200" ht="16.5" customHeight="1">
      <c r="H200" s="59"/>
    </row>
    <row r="201" ht="16.5" customHeight="1">
      <c r="H201" s="59"/>
    </row>
    <row r="202" ht="16.5" customHeight="1">
      <c r="H202" s="59"/>
    </row>
    <row r="203" ht="16.5" customHeight="1">
      <c r="H203" s="59"/>
    </row>
    <row r="204" ht="16.5" customHeight="1">
      <c r="H204" s="59"/>
    </row>
    <row r="205" ht="16.5" customHeight="1">
      <c r="H205" s="59"/>
    </row>
    <row r="206" ht="16.5" customHeight="1">
      <c r="H206" s="59"/>
    </row>
    <row r="207" ht="16.5" customHeight="1">
      <c r="H207" s="59"/>
    </row>
    <row r="208" ht="16.5" customHeight="1">
      <c r="H208" s="59"/>
    </row>
    <row r="209" ht="16.5" customHeight="1">
      <c r="H209" s="59"/>
    </row>
    <row r="210" ht="16.5" customHeight="1">
      <c r="H210" s="59"/>
    </row>
    <row r="211" ht="16.5" customHeight="1">
      <c r="H211" s="59"/>
    </row>
    <row r="212" ht="16.5" customHeight="1">
      <c r="H212" s="59"/>
    </row>
    <row r="213" ht="16.5" customHeight="1">
      <c r="H213" s="59"/>
    </row>
    <row r="214" ht="16.5" customHeight="1">
      <c r="H214" s="59"/>
    </row>
    <row r="215" ht="16.5" customHeight="1">
      <c r="H215" s="59"/>
    </row>
    <row r="216" ht="16.5" customHeight="1">
      <c r="H216" s="59"/>
    </row>
    <row r="217" ht="16.5" customHeight="1">
      <c r="H217" s="59"/>
    </row>
    <row r="218" ht="16.5" customHeight="1">
      <c r="H218" s="59"/>
    </row>
    <row r="219" ht="16.5" customHeight="1">
      <c r="H219" s="59"/>
    </row>
    <row r="220" ht="16.5" customHeight="1">
      <c r="H220" s="59"/>
    </row>
    <row r="221" ht="16.5" customHeight="1">
      <c r="H221" s="59"/>
    </row>
    <row r="222" ht="16.5" customHeight="1">
      <c r="H222" s="59"/>
    </row>
    <row r="223" ht="16.5" customHeight="1">
      <c r="H223" s="59"/>
    </row>
    <row r="224" ht="16.5" customHeight="1">
      <c r="H224" s="59"/>
    </row>
    <row r="225" ht="16.5" customHeight="1">
      <c r="H225" s="59"/>
    </row>
    <row r="226" ht="16.5" customHeight="1">
      <c r="H226" s="59"/>
    </row>
    <row r="227" ht="16.5" customHeight="1">
      <c r="H227" s="59"/>
    </row>
    <row r="228" ht="16.5" customHeight="1">
      <c r="H228" s="59"/>
    </row>
    <row r="229" ht="16.5" customHeight="1">
      <c r="H229" s="59"/>
    </row>
    <row r="230" ht="16.5" customHeight="1">
      <c r="H230" s="59"/>
    </row>
    <row r="231" ht="16.5" customHeight="1">
      <c r="H231" s="59"/>
    </row>
    <row r="232" ht="16.5" customHeight="1">
      <c r="H232" s="59"/>
    </row>
    <row r="233" ht="16.5" customHeight="1">
      <c r="H233" s="59"/>
    </row>
    <row r="234" ht="16.5" customHeight="1">
      <c r="H234" s="59"/>
    </row>
    <row r="235" ht="16.5" customHeight="1">
      <c r="H235" s="59"/>
    </row>
    <row r="236" ht="16.5" customHeight="1">
      <c r="H236" s="59"/>
    </row>
    <row r="237" ht="16.5" customHeight="1">
      <c r="H237" s="59"/>
    </row>
    <row r="238" ht="16.5" customHeight="1">
      <c r="H238" s="59"/>
    </row>
    <row r="239" ht="16.5" customHeight="1">
      <c r="H239" s="59"/>
    </row>
    <row r="240" ht="16.5" customHeight="1">
      <c r="H240" s="59"/>
    </row>
    <row r="241" ht="16.5" customHeight="1">
      <c r="H241" s="59"/>
    </row>
    <row r="242" ht="16.5" customHeight="1">
      <c r="H242" s="59"/>
    </row>
    <row r="243" ht="16.5" customHeight="1">
      <c r="H243" s="59"/>
    </row>
    <row r="244" ht="16.5" customHeight="1">
      <c r="H244" s="59"/>
    </row>
    <row r="245" ht="16.5" customHeight="1">
      <c r="H245" s="59"/>
    </row>
    <row r="246" ht="16.5" customHeight="1">
      <c r="H246" s="59"/>
    </row>
    <row r="247" ht="16.5" customHeight="1">
      <c r="H247" s="59"/>
    </row>
    <row r="248" ht="16.5" customHeight="1">
      <c r="H248" s="59"/>
    </row>
    <row r="249" ht="16.5" customHeight="1">
      <c r="H249" s="59"/>
    </row>
    <row r="250" ht="16.5" customHeight="1">
      <c r="H250" s="59"/>
    </row>
    <row r="251" ht="16.5" customHeight="1">
      <c r="H251" s="59"/>
    </row>
    <row r="252" ht="16.5" customHeight="1">
      <c r="H252" s="59"/>
    </row>
    <row r="253" ht="16.5" customHeight="1">
      <c r="H253" s="59"/>
    </row>
    <row r="254" ht="16.5" customHeight="1">
      <c r="H254" s="59"/>
    </row>
    <row r="255" ht="16.5" customHeight="1">
      <c r="H255" s="59"/>
    </row>
    <row r="256" ht="16.5" customHeight="1">
      <c r="H256" s="59"/>
    </row>
    <row r="257" ht="16.5" customHeight="1">
      <c r="H257" s="59"/>
    </row>
    <row r="258" ht="16.5" customHeight="1">
      <c r="H258" s="59"/>
    </row>
    <row r="259" ht="16.5" customHeight="1">
      <c r="H259" s="59"/>
    </row>
    <row r="260" ht="16.5" customHeight="1">
      <c r="H260" s="59"/>
    </row>
    <row r="261" ht="16.5" customHeight="1">
      <c r="H261" s="59"/>
    </row>
    <row r="262" ht="16.5" customHeight="1">
      <c r="H262" s="59"/>
    </row>
    <row r="263" ht="16.5" customHeight="1">
      <c r="H263" s="59"/>
    </row>
    <row r="264" ht="16.5" customHeight="1">
      <c r="H264" s="59"/>
    </row>
    <row r="265" ht="16.5" customHeight="1">
      <c r="H265" s="59"/>
    </row>
    <row r="266" ht="16.5" customHeight="1">
      <c r="H266" s="59"/>
    </row>
    <row r="267" ht="16.5" customHeight="1">
      <c r="H267" s="59"/>
    </row>
    <row r="268" ht="16.5" customHeight="1">
      <c r="H268" s="59"/>
    </row>
    <row r="269" ht="16.5" customHeight="1">
      <c r="H269" s="59"/>
    </row>
    <row r="270" ht="16.5" customHeight="1">
      <c r="H270" s="59"/>
    </row>
    <row r="271" ht="16.5" customHeight="1">
      <c r="H271" s="59"/>
    </row>
    <row r="272" ht="16.5" customHeight="1">
      <c r="H272" s="59"/>
    </row>
    <row r="273" ht="16.5" customHeight="1">
      <c r="H273" s="59"/>
    </row>
    <row r="274" ht="16.5" customHeight="1">
      <c r="H274" s="59"/>
    </row>
    <row r="275" ht="16.5" customHeight="1">
      <c r="H275" s="59"/>
    </row>
    <row r="276" ht="16.5" customHeight="1">
      <c r="H276" s="59"/>
    </row>
    <row r="277" ht="16.5" customHeight="1">
      <c r="H277" s="59"/>
    </row>
    <row r="278" ht="16.5" customHeight="1">
      <c r="H278" s="59"/>
    </row>
    <row r="279" ht="16.5" customHeight="1">
      <c r="H279" s="59"/>
    </row>
    <row r="280" ht="16.5" customHeight="1">
      <c r="H280" s="59"/>
    </row>
    <row r="281" ht="16.5" customHeight="1">
      <c r="H281" s="59"/>
    </row>
    <row r="282" ht="16.5" customHeight="1">
      <c r="H282" s="59"/>
    </row>
    <row r="283" ht="16.5" customHeight="1">
      <c r="H283" s="59"/>
    </row>
    <row r="284" ht="16.5" customHeight="1">
      <c r="H284" s="59"/>
    </row>
    <row r="285" ht="16.5" customHeight="1">
      <c r="H285" s="59"/>
    </row>
    <row r="286" ht="16.5" customHeight="1">
      <c r="H286" s="59"/>
    </row>
    <row r="287" ht="16.5" customHeight="1">
      <c r="H287" s="59"/>
    </row>
    <row r="288" ht="16.5" customHeight="1">
      <c r="H288" s="59"/>
    </row>
    <row r="289" ht="16.5" customHeight="1">
      <c r="H289" s="59"/>
    </row>
    <row r="290" ht="16.5" customHeight="1">
      <c r="H290" s="59"/>
    </row>
    <row r="291" ht="16.5" customHeight="1">
      <c r="H291" s="59"/>
    </row>
    <row r="292" ht="16.5" customHeight="1">
      <c r="H292" s="59"/>
    </row>
    <row r="293" ht="16.5" customHeight="1">
      <c r="H293" s="59"/>
    </row>
    <row r="294" ht="16.5" customHeight="1">
      <c r="H294" s="59"/>
    </row>
    <row r="295" ht="16.5" customHeight="1">
      <c r="H295" s="59"/>
    </row>
    <row r="296" ht="16.5" customHeight="1">
      <c r="H296" s="59"/>
    </row>
    <row r="297" ht="16.5" customHeight="1">
      <c r="H297" s="59"/>
    </row>
    <row r="298" ht="16.5" customHeight="1">
      <c r="H298" s="59"/>
    </row>
    <row r="299" ht="16.5" customHeight="1">
      <c r="H299" s="59"/>
    </row>
    <row r="300" ht="16.5" customHeight="1">
      <c r="H300" s="59"/>
    </row>
    <row r="301" ht="16.5" customHeight="1">
      <c r="H301" s="59"/>
    </row>
    <row r="302" ht="16.5" customHeight="1">
      <c r="H302" s="59"/>
    </row>
    <row r="303" ht="16.5" customHeight="1">
      <c r="H303" s="59"/>
    </row>
    <row r="304" ht="16.5" customHeight="1">
      <c r="H304" s="59"/>
    </row>
    <row r="305" ht="16.5" customHeight="1">
      <c r="H305" s="59"/>
    </row>
    <row r="306" ht="16.5" customHeight="1">
      <c r="H306" s="59"/>
    </row>
    <row r="307" ht="16.5" customHeight="1">
      <c r="H307" s="59"/>
    </row>
    <row r="308" ht="16.5" customHeight="1">
      <c r="H308" s="59"/>
    </row>
    <row r="309" ht="16.5" customHeight="1">
      <c r="H309" s="59"/>
    </row>
    <row r="310" ht="16.5" customHeight="1">
      <c r="H310" s="59"/>
    </row>
    <row r="311" ht="16.5" customHeight="1">
      <c r="H311" s="59"/>
    </row>
    <row r="312" ht="16.5" customHeight="1">
      <c r="H312" s="59"/>
    </row>
    <row r="313" ht="16.5" customHeight="1">
      <c r="H313" s="59"/>
    </row>
    <row r="314" ht="16.5" customHeight="1">
      <c r="H314" s="59"/>
    </row>
    <row r="315" ht="16.5" customHeight="1">
      <c r="H315" s="59"/>
    </row>
    <row r="316" ht="16.5" customHeight="1">
      <c r="H316" s="59"/>
    </row>
    <row r="317" ht="16.5" customHeight="1">
      <c r="H317" s="59"/>
    </row>
    <row r="318" ht="16.5" customHeight="1">
      <c r="H318" s="59"/>
    </row>
    <row r="319" ht="16.5" customHeight="1">
      <c r="H319" s="59"/>
    </row>
    <row r="320" ht="16.5" customHeight="1">
      <c r="H320" s="59"/>
    </row>
    <row r="321" ht="16.5" customHeight="1">
      <c r="H321" s="59"/>
    </row>
    <row r="322" ht="16.5" customHeight="1">
      <c r="H322" s="59"/>
    </row>
    <row r="323" ht="16.5" customHeight="1">
      <c r="H323" s="59"/>
    </row>
    <row r="324" ht="16.5" customHeight="1">
      <c r="H324" s="59"/>
    </row>
    <row r="325" ht="16.5" customHeight="1">
      <c r="H325" s="59"/>
    </row>
    <row r="326" ht="16.5" customHeight="1">
      <c r="H326" s="59"/>
    </row>
    <row r="327" ht="16.5" customHeight="1">
      <c r="H327" s="59"/>
    </row>
    <row r="328" ht="16.5" customHeight="1">
      <c r="H328" s="59"/>
    </row>
    <row r="329" ht="16.5" customHeight="1">
      <c r="H329" s="59"/>
    </row>
    <row r="330" ht="16.5" customHeight="1">
      <c r="H330" s="59"/>
    </row>
    <row r="331" ht="16.5" customHeight="1">
      <c r="H331" s="59"/>
    </row>
    <row r="332" ht="16.5" customHeight="1">
      <c r="H332" s="59"/>
    </row>
    <row r="333" ht="16.5" customHeight="1">
      <c r="H333" s="59"/>
    </row>
    <row r="334" ht="16.5" customHeight="1">
      <c r="H334" s="59"/>
    </row>
    <row r="335" ht="16.5" customHeight="1">
      <c r="H335" s="59"/>
    </row>
    <row r="336" ht="16.5" customHeight="1">
      <c r="H336" s="59"/>
    </row>
    <row r="337" ht="16.5" customHeight="1">
      <c r="H337" s="59"/>
    </row>
    <row r="338" ht="16.5" customHeight="1">
      <c r="H338" s="59"/>
    </row>
    <row r="339" ht="16.5" customHeight="1">
      <c r="H339" s="59"/>
    </row>
    <row r="340" ht="16.5" customHeight="1">
      <c r="H340" s="59"/>
    </row>
    <row r="341" ht="16.5" customHeight="1">
      <c r="H341" s="59"/>
    </row>
    <row r="342" ht="16.5" customHeight="1">
      <c r="H342" s="59"/>
    </row>
    <row r="343" ht="16.5" customHeight="1">
      <c r="H343" s="59"/>
    </row>
    <row r="344" ht="16.5" customHeight="1">
      <c r="H344" s="59"/>
    </row>
    <row r="345" ht="16.5" customHeight="1">
      <c r="H345" s="59"/>
    </row>
    <row r="346" ht="16.5" customHeight="1">
      <c r="H346" s="59"/>
    </row>
    <row r="347" ht="16.5" customHeight="1">
      <c r="H347" s="59"/>
    </row>
    <row r="348" ht="16.5" customHeight="1">
      <c r="H348" s="59"/>
    </row>
    <row r="349" ht="16.5" customHeight="1">
      <c r="H349" s="59"/>
    </row>
    <row r="350" ht="16.5" customHeight="1">
      <c r="H350" s="59"/>
    </row>
    <row r="351" ht="16.5" customHeight="1">
      <c r="H351" s="59"/>
    </row>
    <row r="352" ht="16.5" customHeight="1">
      <c r="H352" s="59"/>
    </row>
    <row r="353" ht="16.5" customHeight="1">
      <c r="H353" s="59"/>
    </row>
    <row r="354" ht="16.5" customHeight="1">
      <c r="H354" s="59"/>
    </row>
    <row r="355" ht="16.5" customHeight="1">
      <c r="H355" s="59"/>
    </row>
    <row r="356" ht="16.5" customHeight="1">
      <c r="H356" s="59"/>
    </row>
    <row r="357" ht="16.5" customHeight="1">
      <c r="H357" s="59"/>
    </row>
    <row r="358" ht="16.5" customHeight="1">
      <c r="H358" s="59"/>
    </row>
    <row r="359" ht="16.5" customHeight="1">
      <c r="H359" s="59"/>
    </row>
    <row r="360" ht="16.5" customHeight="1">
      <c r="H360" s="59"/>
    </row>
    <row r="361" ht="16.5" customHeight="1">
      <c r="H361" s="59"/>
    </row>
    <row r="362" ht="16.5" customHeight="1">
      <c r="H362" s="59"/>
    </row>
    <row r="363" ht="16.5" customHeight="1">
      <c r="H363" s="59"/>
    </row>
    <row r="364" ht="16.5" customHeight="1">
      <c r="H364" s="59"/>
    </row>
    <row r="365" ht="16.5" customHeight="1">
      <c r="H365" s="59"/>
    </row>
    <row r="366" ht="16.5" customHeight="1">
      <c r="H366" s="59"/>
    </row>
    <row r="367" ht="16.5" customHeight="1">
      <c r="H367" s="59"/>
    </row>
    <row r="368" ht="16.5" customHeight="1">
      <c r="H368" s="59"/>
    </row>
    <row r="369" ht="16.5" customHeight="1">
      <c r="H369" s="59"/>
    </row>
    <row r="370" ht="16.5" customHeight="1">
      <c r="H370" s="59"/>
    </row>
    <row r="371" ht="16.5" customHeight="1">
      <c r="H371" s="59"/>
    </row>
    <row r="372" ht="16.5" customHeight="1">
      <c r="H372" s="59"/>
    </row>
    <row r="373" ht="16.5" customHeight="1">
      <c r="H373" s="59"/>
    </row>
    <row r="374" ht="16.5" customHeight="1">
      <c r="H374" s="59"/>
    </row>
    <row r="375" ht="16.5" customHeight="1">
      <c r="H375" s="59"/>
    </row>
    <row r="376" ht="16.5" customHeight="1">
      <c r="H376" s="59"/>
    </row>
    <row r="377" ht="16.5" customHeight="1">
      <c r="H377" s="59"/>
    </row>
    <row r="378" ht="16.5" customHeight="1">
      <c r="H378" s="59"/>
    </row>
    <row r="379" ht="16.5" customHeight="1">
      <c r="H379" s="59"/>
    </row>
    <row r="380" ht="16.5" customHeight="1">
      <c r="H380" s="59"/>
    </row>
    <row r="381" ht="16.5" customHeight="1">
      <c r="H381" s="59"/>
    </row>
    <row r="382" ht="16.5" customHeight="1">
      <c r="H382" s="59"/>
    </row>
    <row r="383" ht="16.5" customHeight="1">
      <c r="H383" s="59"/>
    </row>
    <row r="384" ht="16.5" customHeight="1">
      <c r="H384" s="59"/>
    </row>
    <row r="385" ht="16.5" customHeight="1">
      <c r="H385" s="59"/>
    </row>
    <row r="386" ht="16.5" customHeight="1">
      <c r="H386" s="59"/>
    </row>
    <row r="387" ht="16.5" customHeight="1">
      <c r="H387" s="59"/>
    </row>
    <row r="388" ht="16.5" customHeight="1">
      <c r="H388" s="59"/>
    </row>
    <row r="389" ht="16.5" customHeight="1">
      <c r="H389" s="59"/>
    </row>
    <row r="390" ht="16.5" customHeight="1">
      <c r="H390" s="59"/>
    </row>
    <row r="391" ht="16.5" customHeight="1">
      <c r="H391" s="59"/>
    </row>
    <row r="392" ht="16.5" customHeight="1">
      <c r="H392" s="59"/>
    </row>
    <row r="393" ht="16.5" customHeight="1">
      <c r="H393" s="59"/>
    </row>
    <row r="394" ht="16.5" customHeight="1">
      <c r="H394" s="59"/>
    </row>
    <row r="395" ht="16.5" customHeight="1">
      <c r="H395" s="59"/>
    </row>
    <row r="396" ht="16.5" customHeight="1">
      <c r="H396" s="59"/>
    </row>
    <row r="397" ht="16.5" customHeight="1">
      <c r="H397" s="59"/>
    </row>
    <row r="398" ht="16.5" customHeight="1">
      <c r="H398" s="59"/>
    </row>
    <row r="399" ht="16.5" customHeight="1">
      <c r="H399" s="59"/>
    </row>
    <row r="400" ht="16.5" customHeight="1">
      <c r="H400" s="59"/>
    </row>
    <row r="401" ht="16.5" customHeight="1">
      <c r="H401" s="59"/>
    </row>
    <row r="402" ht="16.5" customHeight="1">
      <c r="H402" s="59"/>
    </row>
    <row r="403" ht="16.5" customHeight="1">
      <c r="H403" s="59"/>
    </row>
    <row r="404" ht="16.5" customHeight="1">
      <c r="H404" s="59"/>
    </row>
    <row r="405" ht="16.5" customHeight="1">
      <c r="H405" s="59"/>
    </row>
    <row r="406" ht="16.5" customHeight="1">
      <c r="H406" s="59"/>
    </row>
    <row r="407" ht="16.5" customHeight="1">
      <c r="H407" s="59"/>
    </row>
    <row r="408" ht="16.5" customHeight="1">
      <c r="H408" s="59"/>
    </row>
    <row r="409" ht="16.5" customHeight="1">
      <c r="H409" s="59"/>
    </row>
    <row r="410" ht="16.5" customHeight="1">
      <c r="H410" s="59"/>
    </row>
    <row r="411" ht="16.5" customHeight="1">
      <c r="H411" s="59"/>
    </row>
    <row r="412" ht="16.5" customHeight="1">
      <c r="H412" s="59"/>
    </row>
    <row r="413" ht="16.5" customHeight="1">
      <c r="H413" s="59"/>
    </row>
    <row r="414" ht="16.5" customHeight="1">
      <c r="H414" s="59"/>
    </row>
    <row r="415" ht="16.5" customHeight="1">
      <c r="H415" s="59"/>
    </row>
    <row r="416" ht="16.5" customHeight="1">
      <c r="H416" s="59"/>
    </row>
    <row r="417" ht="16.5" customHeight="1">
      <c r="H417" s="59"/>
    </row>
    <row r="418" ht="16.5" customHeight="1">
      <c r="H418" s="59"/>
    </row>
    <row r="419" ht="16.5" customHeight="1">
      <c r="H419" s="59"/>
    </row>
    <row r="420" ht="16.5" customHeight="1">
      <c r="H420" s="59"/>
    </row>
    <row r="421" ht="16.5" customHeight="1">
      <c r="H421" s="59"/>
    </row>
    <row r="422" ht="16.5" customHeight="1">
      <c r="H422" s="59"/>
    </row>
    <row r="423" ht="16.5" customHeight="1">
      <c r="H423" s="59"/>
    </row>
    <row r="424" ht="16.5" customHeight="1">
      <c r="H424" s="59"/>
    </row>
    <row r="425" ht="16.5" customHeight="1">
      <c r="H425" s="59"/>
    </row>
    <row r="426" ht="16.5" customHeight="1">
      <c r="H426" s="59"/>
    </row>
    <row r="427" ht="16.5" customHeight="1">
      <c r="H427" s="59"/>
    </row>
    <row r="428" ht="16.5" customHeight="1">
      <c r="H428" s="59"/>
    </row>
    <row r="429" ht="16.5" customHeight="1">
      <c r="H429" s="59"/>
    </row>
    <row r="430" ht="16.5" customHeight="1">
      <c r="H430" s="59"/>
    </row>
    <row r="431" ht="16.5" customHeight="1">
      <c r="H431" s="59"/>
    </row>
    <row r="432" ht="16.5" customHeight="1">
      <c r="H432" s="59"/>
    </row>
    <row r="433" ht="16.5" customHeight="1">
      <c r="H433" s="59"/>
    </row>
    <row r="434" ht="16.5" customHeight="1">
      <c r="H434" s="59"/>
    </row>
    <row r="435" ht="16.5" customHeight="1">
      <c r="H435" s="59"/>
    </row>
    <row r="436" ht="16.5" customHeight="1">
      <c r="H436" s="59"/>
    </row>
    <row r="437" ht="16.5" customHeight="1">
      <c r="H437" s="59"/>
    </row>
    <row r="438" ht="16.5" customHeight="1">
      <c r="H438" s="59"/>
    </row>
    <row r="439" ht="16.5" customHeight="1">
      <c r="H439" s="59"/>
    </row>
    <row r="440" ht="16.5" customHeight="1">
      <c r="H440" s="59"/>
    </row>
    <row r="441" ht="16.5" customHeight="1">
      <c r="H441" s="59"/>
    </row>
    <row r="442" ht="16.5" customHeight="1">
      <c r="H442" s="59"/>
    </row>
    <row r="443" ht="16.5" customHeight="1">
      <c r="H443" s="59"/>
    </row>
    <row r="444" ht="16.5" customHeight="1">
      <c r="H444" s="59"/>
    </row>
    <row r="445" ht="16.5" customHeight="1">
      <c r="H445" s="59"/>
    </row>
    <row r="446" ht="16.5" customHeight="1">
      <c r="H446" s="59"/>
    </row>
    <row r="447" ht="16.5" customHeight="1">
      <c r="H447" s="59"/>
    </row>
    <row r="448" ht="16.5" customHeight="1">
      <c r="H448" s="59"/>
    </row>
    <row r="449" ht="16.5" customHeight="1">
      <c r="H449" s="59"/>
    </row>
    <row r="450" ht="16.5" customHeight="1">
      <c r="H450" s="59"/>
    </row>
    <row r="451" ht="16.5" customHeight="1">
      <c r="H451" s="59"/>
    </row>
    <row r="452" ht="16.5" customHeight="1">
      <c r="H452" s="59"/>
    </row>
    <row r="453" ht="16.5" customHeight="1">
      <c r="H453" s="59"/>
    </row>
    <row r="454" ht="16.5" customHeight="1">
      <c r="H454" s="59"/>
    </row>
    <row r="455" ht="16.5" customHeight="1">
      <c r="H455" s="59"/>
    </row>
    <row r="456" ht="16.5" customHeight="1">
      <c r="H456" s="59"/>
    </row>
    <row r="457" ht="16.5" customHeight="1">
      <c r="H457" s="59"/>
    </row>
    <row r="458" ht="16.5" customHeight="1">
      <c r="H458" s="59"/>
    </row>
    <row r="459" ht="16.5" customHeight="1">
      <c r="H459" s="59"/>
    </row>
    <row r="460" ht="16.5" customHeight="1">
      <c r="H460" s="59"/>
    </row>
    <row r="461" ht="16.5" customHeight="1">
      <c r="H461" s="59"/>
    </row>
    <row r="462" ht="16.5" customHeight="1">
      <c r="H462" s="59"/>
    </row>
    <row r="463" ht="16.5" customHeight="1">
      <c r="H463" s="59"/>
    </row>
    <row r="464" ht="16.5" customHeight="1">
      <c r="H464" s="59"/>
    </row>
    <row r="465" ht="16.5" customHeight="1">
      <c r="H465" s="59"/>
    </row>
    <row r="466" ht="16.5" customHeight="1">
      <c r="H466" s="59"/>
    </row>
    <row r="467" ht="16.5" customHeight="1">
      <c r="H467" s="59"/>
    </row>
    <row r="468" ht="16.5" customHeight="1">
      <c r="H468" s="59"/>
    </row>
    <row r="469" ht="16.5" customHeight="1">
      <c r="H469" s="59"/>
    </row>
    <row r="470" ht="16.5" customHeight="1">
      <c r="H470" s="59"/>
    </row>
    <row r="471" ht="16.5" customHeight="1">
      <c r="H471" s="59"/>
    </row>
    <row r="472" ht="16.5" customHeight="1">
      <c r="H472" s="59"/>
    </row>
    <row r="473" ht="16.5" customHeight="1">
      <c r="H473" s="59"/>
    </row>
    <row r="474" ht="16.5" customHeight="1">
      <c r="H474" s="59"/>
    </row>
    <row r="475" ht="16.5" customHeight="1">
      <c r="H475" s="59"/>
    </row>
    <row r="476" ht="16.5" customHeight="1">
      <c r="H476" s="59"/>
    </row>
    <row r="477" ht="16.5" customHeight="1">
      <c r="H477" s="59"/>
    </row>
    <row r="478" ht="16.5" customHeight="1">
      <c r="H478" s="59"/>
    </row>
    <row r="479" ht="16.5" customHeight="1">
      <c r="H479" s="59"/>
    </row>
    <row r="480" ht="16.5" customHeight="1">
      <c r="H480" s="59"/>
    </row>
    <row r="481" ht="16.5" customHeight="1">
      <c r="H481" s="59"/>
    </row>
    <row r="482" ht="16.5" customHeight="1">
      <c r="H482" s="59"/>
    </row>
    <row r="483" ht="16.5" customHeight="1">
      <c r="H483" s="59"/>
    </row>
    <row r="484" ht="16.5" customHeight="1">
      <c r="H484" s="59"/>
    </row>
    <row r="485" ht="16.5" customHeight="1">
      <c r="H485" s="59"/>
    </row>
    <row r="486" ht="16.5" customHeight="1">
      <c r="H486" s="59"/>
    </row>
    <row r="487" ht="16.5" customHeight="1">
      <c r="H487" s="59"/>
    </row>
    <row r="488" ht="16.5" customHeight="1">
      <c r="H488" s="59"/>
    </row>
    <row r="489" ht="16.5" customHeight="1">
      <c r="H489" s="59"/>
    </row>
    <row r="490" ht="16.5" customHeight="1">
      <c r="H490" s="59"/>
    </row>
    <row r="491" ht="16.5" customHeight="1">
      <c r="H491" s="59"/>
    </row>
    <row r="492" ht="16.5" customHeight="1">
      <c r="H492" s="59"/>
    </row>
    <row r="493" ht="16.5" customHeight="1">
      <c r="H493" s="59"/>
    </row>
    <row r="494" ht="16.5" customHeight="1">
      <c r="H494" s="59"/>
    </row>
    <row r="495" ht="16.5" customHeight="1">
      <c r="H495" s="59"/>
    </row>
    <row r="496" ht="16.5" customHeight="1">
      <c r="H496" s="59"/>
    </row>
    <row r="497" ht="16.5" customHeight="1">
      <c r="H497" s="59"/>
    </row>
    <row r="498" ht="16.5" customHeight="1">
      <c r="H498" s="59"/>
    </row>
    <row r="499" ht="16.5" customHeight="1">
      <c r="H499" s="59"/>
    </row>
    <row r="500" ht="16.5" customHeight="1">
      <c r="H500" s="59"/>
    </row>
    <row r="501" ht="16.5" customHeight="1">
      <c r="H501" s="59"/>
    </row>
    <row r="502" ht="16.5" customHeight="1">
      <c r="H502" s="59"/>
    </row>
    <row r="503" ht="16.5" customHeight="1">
      <c r="H503" s="59"/>
    </row>
    <row r="504" ht="16.5" customHeight="1">
      <c r="H504" s="59"/>
    </row>
    <row r="505" ht="16.5" customHeight="1">
      <c r="H505" s="59"/>
    </row>
    <row r="506" ht="16.5" customHeight="1">
      <c r="H506" s="59"/>
    </row>
    <row r="507" ht="16.5" customHeight="1">
      <c r="H507" s="59"/>
    </row>
    <row r="508" ht="16.5" customHeight="1">
      <c r="H508" s="59"/>
    </row>
    <row r="509" ht="16.5" customHeight="1">
      <c r="H509" s="59"/>
    </row>
    <row r="510" ht="16.5" customHeight="1">
      <c r="H510" s="59"/>
    </row>
    <row r="511" ht="16.5" customHeight="1">
      <c r="H511" s="59"/>
    </row>
    <row r="512" ht="16.5" customHeight="1">
      <c r="H512" s="59"/>
    </row>
    <row r="513" ht="16.5" customHeight="1">
      <c r="H513" s="59"/>
    </row>
    <row r="514" ht="16.5" customHeight="1">
      <c r="H514" s="59"/>
    </row>
    <row r="515" ht="16.5" customHeight="1">
      <c r="H515" s="59"/>
    </row>
    <row r="516" ht="16.5" customHeight="1">
      <c r="H516" s="59"/>
    </row>
    <row r="517" ht="16.5" customHeight="1">
      <c r="H517" s="59"/>
    </row>
    <row r="518" ht="16.5" customHeight="1">
      <c r="H518" s="59"/>
    </row>
    <row r="519" ht="16.5" customHeight="1">
      <c r="H519" s="59"/>
    </row>
    <row r="520" ht="16.5" customHeight="1">
      <c r="H520" s="59"/>
    </row>
    <row r="521" ht="16.5" customHeight="1">
      <c r="H521" s="59"/>
    </row>
    <row r="522" ht="16.5" customHeight="1">
      <c r="H522" s="59"/>
    </row>
    <row r="523" ht="16.5" customHeight="1">
      <c r="H523" s="59"/>
    </row>
    <row r="524" ht="16.5" customHeight="1">
      <c r="H524" s="59"/>
    </row>
    <row r="525" ht="16.5" customHeight="1">
      <c r="H525" s="59"/>
    </row>
    <row r="526" ht="16.5" customHeight="1">
      <c r="H526" s="59"/>
    </row>
    <row r="527" ht="16.5" customHeight="1">
      <c r="H527" s="59"/>
    </row>
    <row r="528" ht="16.5" customHeight="1">
      <c r="H528" s="59"/>
    </row>
    <row r="529" ht="16.5" customHeight="1">
      <c r="H529" s="59"/>
    </row>
    <row r="530" ht="16.5" customHeight="1">
      <c r="H530" s="59"/>
    </row>
    <row r="531" ht="16.5" customHeight="1">
      <c r="H531" s="59"/>
    </row>
    <row r="532" ht="16.5" customHeight="1">
      <c r="H532" s="59"/>
    </row>
    <row r="533" ht="16.5" customHeight="1">
      <c r="H533" s="59"/>
    </row>
    <row r="534" ht="16.5" customHeight="1">
      <c r="H534" s="59"/>
    </row>
    <row r="535" ht="16.5" customHeight="1">
      <c r="H535" s="59"/>
    </row>
    <row r="536" ht="16.5" customHeight="1">
      <c r="H536" s="59"/>
    </row>
    <row r="537" ht="16.5" customHeight="1">
      <c r="H537" s="59"/>
    </row>
    <row r="538" ht="16.5" customHeight="1">
      <c r="H538" s="59"/>
    </row>
    <row r="539" ht="16.5" customHeight="1">
      <c r="H539" s="59"/>
    </row>
    <row r="540" ht="16.5" customHeight="1">
      <c r="H540" s="59"/>
    </row>
    <row r="541" ht="16.5" customHeight="1">
      <c r="H541" s="59"/>
    </row>
    <row r="542" ht="16.5" customHeight="1">
      <c r="H542" s="59"/>
    </row>
    <row r="543" ht="16.5" customHeight="1">
      <c r="H543" s="59"/>
    </row>
    <row r="544" ht="16.5" customHeight="1">
      <c r="H544" s="59"/>
    </row>
    <row r="545" ht="16.5" customHeight="1">
      <c r="H545" s="59"/>
    </row>
    <row r="546" ht="16.5" customHeight="1">
      <c r="H546" s="59"/>
    </row>
    <row r="547" ht="16.5" customHeight="1">
      <c r="H547" s="59"/>
    </row>
    <row r="548" ht="16.5" customHeight="1">
      <c r="H548" s="59"/>
    </row>
    <row r="549" ht="16.5" customHeight="1">
      <c r="H549" s="59"/>
    </row>
    <row r="550" ht="16.5" customHeight="1">
      <c r="H550" s="59"/>
    </row>
    <row r="551" ht="16.5" customHeight="1">
      <c r="H551" s="59"/>
    </row>
    <row r="552" ht="16.5" customHeight="1">
      <c r="H552" s="59"/>
    </row>
    <row r="553" ht="16.5" customHeight="1">
      <c r="H553" s="59"/>
    </row>
    <row r="554" ht="16.5" customHeight="1">
      <c r="H554" s="59"/>
    </row>
    <row r="555" ht="16.5" customHeight="1">
      <c r="H555" s="59"/>
    </row>
    <row r="556" ht="16.5" customHeight="1">
      <c r="H556" s="59"/>
    </row>
    <row r="557" ht="16.5" customHeight="1">
      <c r="H557" s="59"/>
    </row>
    <row r="558" ht="16.5" customHeight="1">
      <c r="H558" s="59"/>
    </row>
    <row r="559" ht="16.5" customHeight="1">
      <c r="H559" s="59"/>
    </row>
    <row r="560" ht="16.5" customHeight="1">
      <c r="H560" s="59"/>
    </row>
    <row r="561" ht="16.5" customHeight="1">
      <c r="H561" s="59"/>
    </row>
    <row r="562" ht="16.5" customHeight="1">
      <c r="H562" s="59"/>
    </row>
    <row r="563" ht="16.5" customHeight="1">
      <c r="H563" s="59"/>
    </row>
    <row r="564" ht="16.5" customHeight="1">
      <c r="H564" s="59"/>
    </row>
    <row r="565" ht="16.5" customHeight="1">
      <c r="H565" s="59"/>
    </row>
    <row r="566" ht="16.5" customHeight="1">
      <c r="H566" s="59"/>
    </row>
    <row r="567" ht="16.5" customHeight="1">
      <c r="H567" s="59"/>
    </row>
    <row r="568" ht="16.5" customHeight="1">
      <c r="H568" s="59"/>
    </row>
    <row r="569" ht="16.5" customHeight="1">
      <c r="H569" s="59"/>
    </row>
    <row r="570" ht="16.5" customHeight="1">
      <c r="H570" s="59"/>
    </row>
    <row r="571" ht="16.5" customHeight="1">
      <c r="H571" s="59"/>
    </row>
    <row r="572" ht="16.5" customHeight="1">
      <c r="H572" s="59"/>
    </row>
    <row r="573" ht="16.5" customHeight="1">
      <c r="H573" s="59"/>
    </row>
    <row r="574" ht="16.5" customHeight="1">
      <c r="H574" s="59"/>
    </row>
    <row r="575" ht="16.5" customHeight="1">
      <c r="H575" s="59"/>
    </row>
    <row r="576" ht="16.5" customHeight="1">
      <c r="H576" s="59"/>
    </row>
    <row r="577" ht="16.5" customHeight="1">
      <c r="H577" s="59"/>
    </row>
    <row r="578" ht="16.5" customHeight="1">
      <c r="H578" s="59"/>
    </row>
    <row r="579" ht="16.5" customHeight="1">
      <c r="H579" s="59"/>
    </row>
    <row r="580" ht="16.5" customHeight="1">
      <c r="H580" s="59"/>
    </row>
    <row r="581" ht="16.5" customHeight="1">
      <c r="H581" s="59"/>
    </row>
    <row r="582" ht="16.5" customHeight="1">
      <c r="H582" s="59"/>
    </row>
    <row r="583" ht="16.5" customHeight="1">
      <c r="H583" s="59"/>
    </row>
    <row r="584" ht="16.5" customHeight="1">
      <c r="H584" s="59"/>
    </row>
    <row r="585" ht="16.5" customHeight="1">
      <c r="H585" s="59"/>
    </row>
    <row r="586" ht="16.5" customHeight="1">
      <c r="H586" s="59"/>
    </row>
    <row r="587" ht="16.5" customHeight="1">
      <c r="H587" s="59"/>
    </row>
    <row r="588" ht="16.5" customHeight="1">
      <c r="H588" s="59"/>
    </row>
    <row r="589" ht="16.5" customHeight="1">
      <c r="H589" s="59"/>
    </row>
    <row r="590" ht="16.5" customHeight="1">
      <c r="H590" s="59"/>
    </row>
    <row r="591" ht="16.5" customHeight="1">
      <c r="H591" s="59"/>
    </row>
    <row r="592" ht="16.5" customHeight="1">
      <c r="H592" s="59"/>
    </row>
    <row r="593" ht="16.5" customHeight="1">
      <c r="H593" s="59"/>
    </row>
    <row r="594" ht="16.5" customHeight="1">
      <c r="H594" s="59"/>
    </row>
    <row r="595" ht="16.5" customHeight="1">
      <c r="H595" s="59"/>
    </row>
    <row r="596" ht="16.5" customHeight="1">
      <c r="H596" s="59"/>
    </row>
    <row r="597" ht="16.5" customHeight="1">
      <c r="H597" s="59"/>
    </row>
    <row r="598" ht="16.5" customHeight="1">
      <c r="H598" s="59"/>
    </row>
    <row r="599" ht="16.5" customHeight="1">
      <c r="H599" s="59"/>
    </row>
    <row r="600" ht="16.5" customHeight="1">
      <c r="H600" s="59"/>
    </row>
    <row r="601" ht="16.5" customHeight="1">
      <c r="H601" s="59"/>
    </row>
    <row r="602" ht="16.5" customHeight="1">
      <c r="H602" s="59"/>
    </row>
    <row r="603" ht="16.5" customHeight="1">
      <c r="H603" s="59"/>
    </row>
    <row r="604" ht="16.5" customHeight="1">
      <c r="H604" s="59"/>
    </row>
    <row r="605" ht="16.5" customHeight="1">
      <c r="H605" s="59"/>
    </row>
    <row r="606" ht="16.5" customHeight="1">
      <c r="H606" s="59"/>
    </row>
    <row r="607" ht="16.5" customHeight="1">
      <c r="H607" s="59"/>
    </row>
    <row r="608" ht="16.5" customHeight="1">
      <c r="H608" s="59"/>
    </row>
    <row r="609" ht="16.5" customHeight="1">
      <c r="H609" s="59"/>
    </row>
    <row r="610" ht="16.5" customHeight="1">
      <c r="H610" s="59"/>
    </row>
    <row r="611" ht="16.5" customHeight="1">
      <c r="H611" s="59"/>
    </row>
    <row r="612" ht="16.5" customHeight="1">
      <c r="H612" s="59"/>
    </row>
    <row r="613" ht="16.5" customHeight="1">
      <c r="H613" s="59"/>
    </row>
    <row r="614" ht="16.5" customHeight="1">
      <c r="H614" s="59"/>
    </row>
    <row r="615" ht="16.5" customHeight="1">
      <c r="H615" s="59"/>
    </row>
    <row r="616" ht="16.5" customHeight="1">
      <c r="H616" s="59"/>
    </row>
    <row r="617" ht="16.5" customHeight="1">
      <c r="H617" s="59"/>
    </row>
    <row r="618" ht="16.5" customHeight="1">
      <c r="H618" s="59"/>
    </row>
    <row r="619" ht="16.5" customHeight="1">
      <c r="H619" s="59"/>
    </row>
    <row r="620" ht="16.5" customHeight="1">
      <c r="H620" s="59"/>
    </row>
    <row r="621" ht="16.5" customHeight="1">
      <c r="H621" s="59"/>
    </row>
    <row r="622" ht="16.5" customHeight="1">
      <c r="H622" s="59"/>
    </row>
    <row r="623" ht="16.5" customHeight="1">
      <c r="H623" s="59"/>
    </row>
    <row r="624" ht="16.5" customHeight="1">
      <c r="H624" s="59"/>
    </row>
    <row r="625" ht="16.5" customHeight="1">
      <c r="H625" s="59"/>
    </row>
    <row r="626" ht="16.5" customHeight="1">
      <c r="H626" s="59"/>
    </row>
    <row r="627" ht="16.5" customHeight="1">
      <c r="H627" s="59"/>
    </row>
    <row r="628" ht="16.5" customHeight="1">
      <c r="H628" s="59"/>
    </row>
    <row r="629" ht="16.5" customHeight="1">
      <c r="H629" s="59"/>
    </row>
    <row r="630" ht="16.5" customHeight="1">
      <c r="H630" s="59"/>
    </row>
    <row r="631" ht="16.5" customHeight="1">
      <c r="H631" s="59"/>
    </row>
    <row r="632" ht="16.5" customHeight="1">
      <c r="H632" s="59"/>
    </row>
    <row r="633" ht="16.5" customHeight="1">
      <c r="H633" s="59"/>
    </row>
    <row r="634" ht="16.5" customHeight="1">
      <c r="H634" s="59"/>
    </row>
    <row r="635" ht="16.5" customHeight="1">
      <c r="H635" s="59"/>
    </row>
    <row r="636" ht="16.5" customHeight="1">
      <c r="H636" s="59"/>
    </row>
    <row r="637" ht="16.5" customHeight="1">
      <c r="H637" s="59"/>
    </row>
    <row r="638" ht="16.5" customHeight="1">
      <c r="H638" s="59"/>
    </row>
    <row r="639" ht="16.5" customHeight="1">
      <c r="H639" s="59"/>
    </row>
    <row r="640" ht="16.5" customHeight="1">
      <c r="H640" s="59"/>
    </row>
    <row r="641" ht="16.5" customHeight="1">
      <c r="H641" s="59"/>
    </row>
    <row r="642" ht="16.5" customHeight="1">
      <c r="H642" s="59"/>
    </row>
    <row r="643" ht="16.5" customHeight="1">
      <c r="H643" s="59"/>
    </row>
    <row r="644" ht="16.5" customHeight="1">
      <c r="H644" s="59"/>
    </row>
    <row r="645" ht="16.5" customHeight="1">
      <c r="H645" s="59"/>
    </row>
    <row r="646" ht="16.5" customHeight="1">
      <c r="H646" s="59"/>
    </row>
    <row r="647" ht="16.5" customHeight="1">
      <c r="H647" s="59"/>
    </row>
    <row r="648" ht="16.5" customHeight="1">
      <c r="H648" s="59"/>
    </row>
    <row r="649" ht="16.5" customHeight="1">
      <c r="H649" s="59"/>
    </row>
    <row r="650" ht="16.5" customHeight="1">
      <c r="H650" s="59"/>
    </row>
    <row r="651" ht="16.5" customHeight="1">
      <c r="H651" s="59"/>
    </row>
    <row r="652" ht="16.5" customHeight="1">
      <c r="H652" s="59"/>
    </row>
    <row r="653" ht="16.5" customHeight="1">
      <c r="H653" s="59"/>
    </row>
    <row r="654" ht="16.5" customHeight="1">
      <c r="H654" s="59"/>
    </row>
    <row r="655" ht="16.5" customHeight="1">
      <c r="H655" s="59"/>
    </row>
    <row r="656" ht="16.5" customHeight="1">
      <c r="H656" s="59"/>
    </row>
    <row r="657" ht="16.5" customHeight="1">
      <c r="H657" s="59"/>
    </row>
    <row r="658" ht="16.5" customHeight="1">
      <c r="H658" s="59"/>
    </row>
    <row r="659" ht="16.5" customHeight="1">
      <c r="H659" s="59"/>
    </row>
    <row r="660" ht="16.5" customHeight="1">
      <c r="H660" s="59"/>
    </row>
    <row r="661" ht="16.5" customHeight="1">
      <c r="H661" s="59"/>
    </row>
    <row r="662" ht="16.5" customHeight="1">
      <c r="H662" s="59"/>
    </row>
    <row r="663" ht="16.5" customHeight="1">
      <c r="H663" s="59"/>
    </row>
    <row r="664" ht="16.5" customHeight="1">
      <c r="H664" s="59"/>
    </row>
    <row r="665" ht="16.5" customHeight="1">
      <c r="H665" s="59"/>
    </row>
    <row r="666" ht="16.5" customHeight="1">
      <c r="H666" s="59"/>
    </row>
    <row r="667" ht="16.5" customHeight="1">
      <c r="H667" s="59"/>
    </row>
    <row r="668" ht="16.5" customHeight="1">
      <c r="H668" s="59"/>
    </row>
    <row r="669" ht="16.5" customHeight="1">
      <c r="H669" s="59"/>
    </row>
    <row r="670" ht="16.5" customHeight="1">
      <c r="H670" s="59"/>
    </row>
    <row r="671" ht="16.5" customHeight="1">
      <c r="H671" s="59"/>
    </row>
    <row r="672" ht="16.5" customHeight="1">
      <c r="H672" s="59"/>
    </row>
    <row r="673" ht="16.5" customHeight="1">
      <c r="H673" s="59"/>
    </row>
    <row r="674" ht="16.5" customHeight="1">
      <c r="H674" s="59"/>
    </row>
    <row r="675" ht="16.5" customHeight="1">
      <c r="H675" s="59"/>
    </row>
    <row r="676" ht="16.5" customHeight="1">
      <c r="H676" s="59"/>
    </row>
    <row r="677" ht="16.5" customHeight="1">
      <c r="H677" s="59"/>
    </row>
    <row r="678" ht="16.5" customHeight="1">
      <c r="H678" s="59"/>
    </row>
    <row r="679" ht="16.5" customHeight="1">
      <c r="H679" s="59"/>
    </row>
    <row r="680" ht="16.5" customHeight="1">
      <c r="H680" s="59"/>
    </row>
    <row r="681" ht="16.5" customHeight="1">
      <c r="H681" s="59"/>
    </row>
    <row r="682" ht="16.5" customHeight="1">
      <c r="H682" s="59"/>
    </row>
    <row r="683" ht="16.5" customHeight="1">
      <c r="H683" s="59"/>
    </row>
    <row r="684" ht="16.5" customHeight="1">
      <c r="H684" s="59"/>
    </row>
    <row r="685" ht="16.5" customHeight="1">
      <c r="H685" s="59"/>
    </row>
    <row r="686" ht="16.5" customHeight="1">
      <c r="H686" s="59"/>
    </row>
    <row r="687" ht="16.5" customHeight="1">
      <c r="H687" s="59"/>
    </row>
    <row r="688" ht="16.5" customHeight="1">
      <c r="H688" s="59"/>
    </row>
    <row r="689" ht="16.5" customHeight="1">
      <c r="H689" s="59"/>
    </row>
    <row r="690" ht="16.5" customHeight="1">
      <c r="H690" s="59"/>
    </row>
    <row r="691" ht="16.5" customHeight="1">
      <c r="H691" s="59"/>
    </row>
    <row r="692" ht="16.5" customHeight="1">
      <c r="H692" s="59"/>
    </row>
    <row r="693" ht="16.5" customHeight="1">
      <c r="H693" s="59"/>
    </row>
    <row r="694" ht="16.5" customHeight="1">
      <c r="H694" s="59"/>
    </row>
    <row r="695" ht="16.5" customHeight="1">
      <c r="H695" s="59"/>
    </row>
    <row r="696" ht="16.5" customHeight="1">
      <c r="H696" s="59"/>
    </row>
    <row r="697" ht="16.5" customHeight="1">
      <c r="H697" s="59"/>
    </row>
    <row r="698" ht="16.5" customHeight="1">
      <c r="H698" s="59"/>
    </row>
    <row r="699" ht="16.5" customHeight="1">
      <c r="H699" s="59"/>
    </row>
    <row r="700" ht="16.5" customHeight="1">
      <c r="H700" s="59"/>
    </row>
    <row r="701" ht="16.5" customHeight="1">
      <c r="H701" s="59"/>
    </row>
    <row r="702" ht="16.5" customHeight="1">
      <c r="H702" s="59"/>
    </row>
    <row r="703" ht="16.5" customHeight="1">
      <c r="H703" s="59"/>
    </row>
    <row r="704" ht="16.5" customHeight="1">
      <c r="H704" s="59"/>
    </row>
    <row r="705" ht="16.5" customHeight="1">
      <c r="H705" s="59"/>
    </row>
    <row r="706" ht="16.5" customHeight="1">
      <c r="H706" s="59"/>
    </row>
    <row r="707" ht="16.5" customHeight="1">
      <c r="H707" s="59"/>
    </row>
    <row r="708" ht="16.5" customHeight="1">
      <c r="H708" s="59"/>
    </row>
    <row r="709" ht="16.5" customHeight="1">
      <c r="H709" s="59"/>
    </row>
    <row r="710" ht="16.5" customHeight="1">
      <c r="H710" s="59"/>
    </row>
    <row r="711" ht="16.5" customHeight="1">
      <c r="H711" s="59"/>
    </row>
    <row r="712" ht="16.5" customHeight="1">
      <c r="H712" s="59"/>
    </row>
    <row r="713" ht="16.5" customHeight="1">
      <c r="H713" s="59"/>
    </row>
    <row r="714" ht="16.5" customHeight="1">
      <c r="H714" s="59"/>
    </row>
    <row r="715" ht="16.5" customHeight="1">
      <c r="H715" s="59"/>
    </row>
    <row r="716" ht="16.5" customHeight="1">
      <c r="H716" s="59"/>
    </row>
    <row r="717" ht="16.5" customHeight="1">
      <c r="H717" s="59"/>
    </row>
    <row r="718" ht="16.5" customHeight="1">
      <c r="H718" s="59"/>
    </row>
    <row r="719" ht="16.5" customHeight="1">
      <c r="H719" s="59"/>
    </row>
    <row r="720" ht="16.5" customHeight="1">
      <c r="H720" s="59"/>
    </row>
    <row r="721" ht="16.5" customHeight="1">
      <c r="H721" s="59"/>
    </row>
    <row r="722" ht="16.5" customHeight="1">
      <c r="H722" s="59"/>
    </row>
    <row r="723" ht="16.5" customHeight="1">
      <c r="H723" s="59"/>
    </row>
    <row r="724" ht="16.5" customHeight="1">
      <c r="H724" s="59"/>
    </row>
    <row r="725" ht="16.5" customHeight="1">
      <c r="H725" s="59"/>
    </row>
    <row r="726" ht="16.5" customHeight="1">
      <c r="H726" s="59"/>
    </row>
    <row r="727" ht="16.5" customHeight="1">
      <c r="H727" s="59"/>
    </row>
    <row r="728" ht="16.5" customHeight="1">
      <c r="H728" s="59"/>
    </row>
    <row r="729" ht="16.5" customHeight="1">
      <c r="H729" s="59"/>
    </row>
    <row r="730" ht="16.5" customHeight="1">
      <c r="H730" s="59"/>
    </row>
    <row r="731" ht="16.5" customHeight="1">
      <c r="H731" s="59"/>
    </row>
    <row r="732" ht="16.5" customHeight="1">
      <c r="H732" s="59"/>
    </row>
    <row r="733" ht="16.5" customHeight="1">
      <c r="H733" s="59"/>
    </row>
    <row r="734" ht="16.5" customHeight="1">
      <c r="H734" s="59"/>
    </row>
    <row r="735" ht="16.5" customHeight="1">
      <c r="H735" s="59"/>
    </row>
    <row r="736" ht="16.5" customHeight="1">
      <c r="H736" s="59"/>
    </row>
    <row r="737" ht="16.5" customHeight="1">
      <c r="H737" s="59"/>
    </row>
    <row r="738" ht="16.5" customHeight="1">
      <c r="H738" s="59"/>
    </row>
    <row r="739" ht="16.5" customHeight="1">
      <c r="H739" s="59"/>
    </row>
    <row r="740" ht="16.5" customHeight="1">
      <c r="H740" s="59"/>
    </row>
    <row r="741" ht="16.5" customHeight="1">
      <c r="H741" s="59"/>
    </row>
    <row r="742" ht="16.5" customHeight="1">
      <c r="H742" s="59"/>
    </row>
    <row r="743" ht="16.5" customHeight="1">
      <c r="H743" s="59"/>
    </row>
    <row r="744" ht="16.5" customHeight="1">
      <c r="H744" s="59"/>
    </row>
    <row r="745" ht="16.5" customHeight="1">
      <c r="H745" s="59"/>
    </row>
    <row r="746" ht="16.5" customHeight="1">
      <c r="H746" s="59"/>
    </row>
    <row r="747" ht="16.5" customHeight="1">
      <c r="H747" s="59"/>
    </row>
    <row r="748" ht="16.5" customHeight="1">
      <c r="H748" s="59"/>
    </row>
    <row r="749" ht="16.5" customHeight="1">
      <c r="H749" s="59"/>
    </row>
    <row r="750" ht="16.5" customHeight="1">
      <c r="H750" s="59"/>
    </row>
    <row r="751" ht="16.5" customHeight="1">
      <c r="H751" s="59"/>
    </row>
    <row r="752" ht="16.5" customHeight="1">
      <c r="H752" s="59"/>
    </row>
    <row r="753" ht="16.5" customHeight="1">
      <c r="H753" s="59"/>
    </row>
    <row r="754" ht="16.5" customHeight="1">
      <c r="H754" s="59"/>
    </row>
    <row r="755" ht="16.5" customHeight="1">
      <c r="H755" s="59"/>
    </row>
    <row r="756" ht="16.5" customHeight="1">
      <c r="H756" s="59"/>
    </row>
    <row r="757" ht="16.5" customHeight="1">
      <c r="H757" s="59"/>
    </row>
    <row r="758" ht="16.5" customHeight="1">
      <c r="H758" s="59"/>
    </row>
    <row r="759" ht="16.5" customHeight="1">
      <c r="H759" s="59"/>
    </row>
    <row r="760" ht="16.5" customHeight="1">
      <c r="H760" s="59"/>
    </row>
    <row r="761" ht="16.5" customHeight="1">
      <c r="H761" s="59"/>
    </row>
    <row r="762" ht="16.5" customHeight="1">
      <c r="H762" s="59"/>
    </row>
    <row r="763" ht="16.5" customHeight="1">
      <c r="H763" s="59"/>
    </row>
    <row r="764" ht="16.5" customHeight="1">
      <c r="H764" s="59"/>
    </row>
    <row r="765" ht="16.5" customHeight="1">
      <c r="H765" s="59"/>
    </row>
    <row r="766" ht="16.5" customHeight="1">
      <c r="H766" s="59"/>
    </row>
    <row r="767" ht="16.5" customHeight="1">
      <c r="H767" s="59"/>
    </row>
    <row r="768" ht="16.5" customHeight="1">
      <c r="H768" s="59"/>
    </row>
    <row r="769" ht="16.5" customHeight="1">
      <c r="H769" s="59"/>
    </row>
    <row r="770" ht="16.5" customHeight="1">
      <c r="H770" s="59"/>
    </row>
    <row r="771" ht="16.5" customHeight="1">
      <c r="H771" s="59"/>
    </row>
    <row r="772" ht="16.5" customHeight="1">
      <c r="H772" s="59"/>
    </row>
    <row r="773" ht="16.5" customHeight="1">
      <c r="H773" s="59"/>
    </row>
    <row r="774" ht="16.5" customHeight="1">
      <c r="H774" s="59"/>
    </row>
    <row r="775" ht="16.5" customHeight="1">
      <c r="H775" s="59"/>
    </row>
    <row r="776" ht="16.5" customHeight="1">
      <c r="H776" s="59"/>
    </row>
    <row r="777" ht="16.5" customHeight="1">
      <c r="H777" s="59"/>
    </row>
    <row r="778" ht="16.5" customHeight="1">
      <c r="H778" s="59"/>
    </row>
    <row r="779" ht="16.5" customHeight="1">
      <c r="H779" s="59"/>
    </row>
    <row r="780" ht="16.5" customHeight="1">
      <c r="H780" s="59"/>
    </row>
    <row r="781" ht="16.5" customHeight="1">
      <c r="H781" s="59"/>
    </row>
    <row r="782" ht="16.5" customHeight="1">
      <c r="H782" s="59"/>
    </row>
    <row r="783" ht="16.5" customHeight="1">
      <c r="H783" s="59"/>
    </row>
    <row r="784" ht="16.5" customHeight="1">
      <c r="H784" s="59"/>
    </row>
    <row r="785" ht="16.5" customHeight="1">
      <c r="H785" s="59"/>
    </row>
    <row r="786" ht="16.5" customHeight="1">
      <c r="H786" s="59"/>
    </row>
    <row r="787" ht="16.5" customHeight="1">
      <c r="H787" s="59"/>
    </row>
    <row r="788" ht="16.5" customHeight="1">
      <c r="H788" s="59"/>
    </row>
    <row r="789" ht="16.5" customHeight="1">
      <c r="H789" s="59"/>
    </row>
    <row r="790" ht="16.5" customHeight="1">
      <c r="H790" s="59"/>
    </row>
    <row r="791" ht="16.5" customHeight="1">
      <c r="H791" s="59"/>
    </row>
    <row r="792" ht="16.5" customHeight="1">
      <c r="H792" s="59"/>
    </row>
    <row r="793" ht="16.5" customHeight="1">
      <c r="H793" s="59"/>
    </row>
    <row r="794" ht="16.5" customHeight="1">
      <c r="H794" s="59"/>
    </row>
    <row r="795" ht="16.5" customHeight="1">
      <c r="H795" s="59"/>
    </row>
    <row r="796" ht="16.5" customHeight="1">
      <c r="H796" s="59"/>
    </row>
    <row r="797" ht="16.5" customHeight="1">
      <c r="H797" s="59"/>
    </row>
    <row r="798" ht="16.5" customHeight="1">
      <c r="H798" s="59"/>
    </row>
    <row r="799" ht="16.5" customHeight="1">
      <c r="H799" s="59"/>
    </row>
    <row r="800" ht="16.5" customHeight="1">
      <c r="H800" s="59"/>
    </row>
    <row r="801" ht="16.5" customHeight="1">
      <c r="H801" s="59"/>
    </row>
    <row r="802" ht="16.5" customHeight="1">
      <c r="H802" s="59"/>
    </row>
    <row r="803" ht="16.5" customHeight="1">
      <c r="H803" s="59"/>
    </row>
    <row r="804" ht="16.5" customHeight="1">
      <c r="H804" s="59"/>
    </row>
    <row r="805" ht="16.5" customHeight="1">
      <c r="H805" s="59"/>
    </row>
    <row r="806" ht="16.5" customHeight="1">
      <c r="H806" s="59"/>
    </row>
    <row r="807" ht="16.5" customHeight="1">
      <c r="H807" s="59"/>
    </row>
    <row r="808" ht="16.5" customHeight="1">
      <c r="H808" s="59"/>
    </row>
    <row r="809" ht="16.5" customHeight="1">
      <c r="H809" s="59"/>
    </row>
    <row r="810" ht="16.5" customHeight="1">
      <c r="H810" s="59"/>
    </row>
    <row r="811" ht="16.5" customHeight="1">
      <c r="H811" s="59"/>
    </row>
    <row r="812" ht="16.5" customHeight="1">
      <c r="H812" s="59"/>
    </row>
    <row r="813" ht="16.5" customHeight="1">
      <c r="H813" s="59"/>
    </row>
    <row r="814" ht="16.5" customHeight="1">
      <c r="H814" s="59"/>
    </row>
    <row r="815" ht="16.5" customHeight="1">
      <c r="H815" s="59"/>
    </row>
    <row r="816" ht="16.5" customHeight="1">
      <c r="H816" s="59"/>
    </row>
    <row r="817" ht="16.5" customHeight="1">
      <c r="H817" s="59"/>
    </row>
    <row r="818" ht="16.5" customHeight="1">
      <c r="H818" s="59"/>
    </row>
    <row r="819" ht="16.5" customHeight="1">
      <c r="H819" s="59"/>
    </row>
    <row r="820" ht="16.5" customHeight="1">
      <c r="H820" s="59"/>
    </row>
    <row r="821" ht="16.5" customHeight="1">
      <c r="H821" s="59"/>
    </row>
    <row r="822" ht="16.5" customHeight="1">
      <c r="H822" s="59"/>
    </row>
    <row r="823" ht="16.5" customHeight="1">
      <c r="H823" s="59"/>
    </row>
    <row r="824" ht="16.5" customHeight="1">
      <c r="H824" s="59"/>
    </row>
    <row r="825" ht="16.5" customHeight="1">
      <c r="H825" s="59"/>
    </row>
    <row r="826" ht="16.5" customHeight="1">
      <c r="H826" s="59"/>
    </row>
    <row r="827" ht="16.5" customHeight="1">
      <c r="H827" s="59"/>
    </row>
    <row r="828" ht="16.5" customHeight="1">
      <c r="H828" s="59"/>
    </row>
    <row r="829" ht="16.5" customHeight="1">
      <c r="H829" s="59"/>
    </row>
    <row r="830" ht="16.5" customHeight="1">
      <c r="H830" s="59"/>
    </row>
    <row r="831" ht="16.5" customHeight="1">
      <c r="H831" s="59"/>
    </row>
    <row r="832" ht="16.5" customHeight="1">
      <c r="H832" s="59"/>
    </row>
    <row r="833" ht="16.5" customHeight="1">
      <c r="H833" s="59"/>
    </row>
    <row r="834" ht="16.5" customHeight="1">
      <c r="H834" s="59"/>
    </row>
    <row r="835" ht="16.5" customHeight="1">
      <c r="H835" s="59"/>
    </row>
    <row r="836" ht="16.5" customHeight="1">
      <c r="H836" s="59"/>
    </row>
    <row r="837" ht="16.5" customHeight="1">
      <c r="H837" s="59"/>
    </row>
    <row r="838" ht="16.5" customHeight="1">
      <c r="H838" s="59"/>
    </row>
    <row r="839" ht="16.5" customHeight="1">
      <c r="H839" s="59"/>
    </row>
    <row r="840" ht="16.5" customHeight="1">
      <c r="H840" s="59"/>
    </row>
    <row r="841" ht="16.5" customHeight="1">
      <c r="H841" s="59"/>
    </row>
    <row r="842" ht="16.5" customHeight="1">
      <c r="H842" s="59"/>
    </row>
    <row r="843" ht="16.5" customHeight="1">
      <c r="H843" s="59"/>
    </row>
    <row r="844" ht="16.5" customHeight="1">
      <c r="H844" s="59"/>
    </row>
    <row r="845" ht="16.5" customHeight="1">
      <c r="H845" s="59"/>
    </row>
    <row r="846" ht="16.5" customHeight="1">
      <c r="H846" s="59"/>
    </row>
    <row r="847" ht="16.5" customHeight="1">
      <c r="H847" s="59"/>
    </row>
    <row r="848" ht="16.5" customHeight="1">
      <c r="H848" s="59"/>
    </row>
    <row r="849" ht="16.5" customHeight="1">
      <c r="H849" s="59"/>
    </row>
    <row r="850" ht="16.5" customHeight="1">
      <c r="H850" s="59"/>
    </row>
    <row r="851" ht="16.5" customHeight="1">
      <c r="H851" s="59"/>
    </row>
    <row r="852" ht="16.5" customHeight="1">
      <c r="H852" s="59"/>
    </row>
    <row r="853" ht="16.5" customHeight="1">
      <c r="H853" s="59"/>
    </row>
    <row r="854" ht="16.5" customHeight="1">
      <c r="H854" s="59"/>
    </row>
    <row r="855" ht="16.5" customHeight="1">
      <c r="H855" s="59"/>
    </row>
    <row r="856" ht="16.5" customHeight="1">
      <c r="H856" s="59"/>
    </row>
    <row r="857" ht="16.5" customHeight="1">
      <c r="H857" s="59"/>
    </row>
    <row r="858" ht="16.5" customHeight="1">
      <c r="H858" s="59"/>
    </row>
    <row r="859" ht="16.5" customHeight="1">
      <c r="H859" s="59"/>
    </row>
    <row r="860" ht="16.5" customHeight="1">
      <c r="H860" s="59"/>
    </row>
    <row r="861" ht="16.5" customHeight="1">
      <c r="H861" s="59"/>
    </row>
    <row r="862" ht="16.5" customHeight="1">
      <c r="H862" s="59"/>
    </row>
    <row r="863" ht="16.5" customHeight="1">
      <c r="H863" s="59"/>
    </row>
    <row r="864" ht="16.5" customHeight="1">
      <c r="H864" s="59"/>
    </row>
    <row r="865" ht="16.5" customHeight="1">
      <c r="H865" s="59"/>
    </row>
    <row r="866" ht="16.5" customHeight="1">
      <c r="H866" s="59"/>
    </row>
    <row r="867" ht="16.5" customHeight="1">
      <c r="H867" s="59"/>
    </row>
    <row r="868" ht="16.5" customHeight="1">
      <c r="H868" s="59"/>
    </row>
    <row r="869" ht="16.5" customHeight="1">
      <c r="H869" s="59"/>
    </row>
    <row r="870" ht="16.5" customHeight="1">
      <c r="H870" s="59"/>
    </row>
    <row r="871" ht="16.5" customHeight="1">
      <c r="H871" s="59"/>
    </row>
    <row r="872" ht="16.5" customHeight="1">
      <c r="H872" s="59"/>
    </row>
    <row r="873" ht="16.5" customHeight="1">
      <c r="H873" s="59"/>
    </row>
    <row r="874" ht="16.5" customHeight="1">
      <c r="H874" s="59"/>
    </row>
    <row r="875" ht="16.5" customHeight="1">
      <c r="H875" s="59"/>
    </row>
    <row r="876" ht="16.5" customHeight="1">
      <c r="H876" s="59"/>
    </row>
    <row r="877" ht="16.5" customHeight="1">
      <c r="H877" s="59"/>
    </row>
    <row r="878" ht="16.5" customHeight="1">
      <c r="H878" s="59"/>
    </row>
    <row r="879" ht="16.5" customHeight="1">
      <c r="H879" s="59"/>
    </row>
    <row r="880" ht="16.5" customHeight="1">
      <c r="H880" s="59"/>
    </row>
    <row r="881" ht="16.5" customHeight="1">
      <c r="H881" s="59"/>
    </row>
    <row r="882" ht="16.5" customHeight="1">
      <c r="H882" s="59"/>
    </row>
    <row r="883" ht="16.5" customHeight="1">
      <c r="H883" s="59"/>
    </row>
    <row r="884" ht="16.5" customHeight="1">
      <c r="H884" s="59"/>
    </row>
    <row r="885" ht="16.5" customHeight="1">
      <c r="H885" s="59"/>
    </row>
    <row r="886" ht="16.5" customHeight="1">
      <c r="H886" s="59"/>
    </row>
    <row r="887" ht="16.5" customHeight="1">
      <c r="H887" s="59"/>
    </row>
    <row r="888" ht="16.5" customHeight="1">
      <c r="H888" s="59"/>
    </row>
    <row r="889" ht="16.5" customHeight="1">
      <c r="H889" s="59"/>
    </row>
    <row r="890" ht="16.5" customHeight="1">
      <c r="H890" s="59"/>
    </row>
    <row r="891" ht="16.5" customHeight="1">
      <c r="H891" s="59"/>
    </row>
    <row r="892" ht="16.5" customHeight="1">
      <c r="H892" s="59"/>
    </row>
    <row r="893" ht="16.5" customHeight="1">
      <c r="H893" s="59"/>
    </row>
    <row r="894" ht="16.5" customHeight="1">
      <c r="H894" s="59"/>
    </row>
    <row r="895" ht="16.5" customHeight="1">
      <c r="H895" s="59"/>
    </row>
    <row r="896" ht="16.5" customHeight="1">
      <c r="H896" s="59"/>
    </row>
    <row r="897" ht="16.5" customHeight="1">
      <c r="H897" s="59"/>
    </row>
    <row r="898" ht="16.5" customHeight="1">
      <c r="H898" s="59"/>
    </row>
    <row r="899" ht="16.5" customHeight="1">
      <c r="H899" s="59"/>
    </row>
    <row r="900" ht="16.5" customHeight="1">
      <c r="H900" s="59"/>
    </row>
    <row r="901" ht="16.5" customHeight="1">
      <c r="H901" s="59"/>
    </row>
    <row r="902" ht="16.5" customHeight="1">
      <c r="H902" s="59"/>
    </row>
    <row r="903" ht="16.5" customHeight="1">
      <c r="H903" s="59"/>
    </row>
    <row r="904" ht="16.5" customHeight="1">
      <c r="H904" s="59"/>
    </row>
    <row r="905" ht="16.5" customHeight="1">
      <c r="H905" s="59"/>
    </row>
    <row r="906" ht="16.5" customHeight="1">
      <c r="H906" s="59"/>
    </row>
    <row r="907" ht="16.5" customHeight="1">
      <c r="H907" s="59"/>
    </row>
    <row r="908" ht="16.5" customHeight="1">
      <c r="H908" s="59"/>
    </row>
    <row r="909" ht="16.5" customHeight="1">
      <c r="H909" s="59"/>
    </row>
    <row r="910" ht="16.5" customHeight="1">
      <c r="H910" s="59"/>
    </row>
    <row r="911" ht="16.5" customHeight="1">
      <c r="H911" s="59"/>
    </row>
    <row r="912" ht="16.5" customHeight="1">
      <c r="H912" s="59"/>
    </row>
    <row r="913" ht="16.5" customHeight="1">
      <c r="H913" s="59"/>
    </row>
    <row r="914" ht="16.5" customHeight="1">
      <c r="H914" s="59"/>
    </row>
    <row r="915" ht="16.5" customHeight="1">
      <c r="H915" s="59"/>
    </row>
    <row r="916" ht="16.5" customHeight="1">
      <c r="H916" s="59"/>
    </row>
    <row r="917" ht="16.5" customHeight="1">
      <c r="H917" s="59"/>
    </row>
    <row r="918" ht="16.5" customHeight="1">
      <c r="H918" s="59"/>
    </row>
    <row r="919" ht="16.5" customHeight="1">
      <c r="H919" s="59"/>
    </row>
    <row r="920" ht="16.5" customHeight="1">
      <c r="H920" s="59"/>
    </row>
    <row r="921" ht="16.5" customHeight="1">
      <c r="H921" s="59"/>
    </row>
    <row r="922" ht="16.5" customHeight="1">
      <c r="H922" s="59"/>
    </row>
    <row r="923" ht="16.5" customHeight="1">
      <c r="H923" s="59"/>
    </row>
    <row r="924" ht="16.5" customHeight="1">
      <c r="H924" s="59"/>
    </row>
    <row r="925" ht="16.5" customHeight="1">
      <c r="H925" s="59"/>
    </row>
    <row r="926" ht="16.5" customHeight="1">
      <c r="H926" s="59"/>
    </row>
    <row r="927" ht="16.5" customHeight="1">
      <c r="H927" s="59"/>
    </row>
    <row r="928" ht="16.5" customHeight="1">
      <c r="H928" s="59"/>
    </row>
    <row r="929" ht="16.5" customHeight="1">
      <c r="H929" s="59"/>
    </row>
    <row r="930" ht="16.5" customHeight="1">
      <c r="H930" s="59"/>
    </row>
    <row r="931" ht="16.5" customHeight="1">
      <c r="H931" s="59"/>
    </row>
    <row r="932" ht="16.5" customHeight="1">
      <c r="H932" s="59"/>
    </row>
    <row r="933" ht="16.5" customHeight="1">
      <c r="H933" s="59"/>
    </row>
    <row r="934" ht="16.5" customHeight="1">
      <c r="H934" s="59"/>
    </row>
    <row r="935" ht="16.5" customHeight="1">
      <c r="H935" s="59"/>
    </row>
    <row r="936" ht="16.5" customHeight="1">
      <c r="H936" s="59"/>
    </row>
    <row r="937" ht="16.5" customHeight="1">
      <c r="H937" s="59"/>
    </row>
    <row r="938" ht="16.5" customHeight="1">
      <c r="H938" s="59"/>
    </row>
    <row r="939" ht="16.5" customHeight="1">
      <c r="H939" s="59"/>
    </row>
    <row r="940" ht="16.5" customHeight="1">
      <c r="H940" s="59"/>
    </row>
    <row r="941" ht="16.5" customHeight="1">
      <c r="H941" s="59"/>
    </row>
    <row r="942" ht="16.5" customHeight="1">
      <c r="H942" s="59"/>
    </row>
    <row r="943" ht="16.5" customHeight="1">
      <c r="H943" s="59"/>
    </row>
    <row r="944" ht="16.5" customHeight="1">
      <c r="H944" s="59"/>
    </row>
    <row r="945" ht="16.5" customHeight="1">
      <c r="H945" s="59"/>
    </row>
    <row r="946" ht="16.5" customHeight="1">
      <c r="H946" s="59"/>
    </row>
    <row r="947" ht="16.5" customHeight="1">
      <c r="H947" s="59"/>
    </row>
    <row r="948" ht="16.5" customHeight="1">
      <c r="H948" s="59"/>
    </row>
    <row r="949" ht="16.5" customHeight="1">
      <c r="H949" s="59"/>
    </row>
    <row r="950" ht="16.5" customHeight="1">
      <c r="H950" s="59"/>
    </row>
    <row r="951" ht="16.5" customHeight="1">
      <c r="H951" s="59"/>
    </row>
    <row r="952" ht="16.5" customHeight="1">
      <c r="H952" s="59"/>
    </row>
    <row r="953" ht="16.5" customHeight="1">
      <c r="H953" s="59"/>
    </row>
    <row r="954" ht="16.5" customHeight="1">
      <c r="H954" s="59"/>
    </row>
    <row r="955" ht="16.5" customHeight="1">
      <c r="H955" s="59"/>
    </row>
    <row r="956" ht="16.5" customHeight="1">
      <c r="H956" s="59"/>
    </row>
    <row r="957" ht="16.5" customHeight="1">
      <c r="H957" s="59"/>
    </row>
    <row r="958" ht="16.5" customHeight="1">
      <c r="H958" s="59"/>
    </row>
    <row r="959" ht="16.5" customHeight="1">
      <c r="H959" s="59"/>
    </row>
    <row r="960" ht="16.5" customHeight="1">
      <c r="H960" s="59"/>
    </row>
    <row r="961" ht="16.5" customHeight="1">
      <c r="H961" s="59"/>
    </row>
    <row r="962" ht="16.5" customHeight="1">
      <c r="H962" s="59"/>
    </row>
    <row r="963" ht="16.5" customHeight="1">
      <c r="H963" s="59"/>
    </row>
    <row r="964" ht="16.5" customHeight="1">
      <c r="H964" s="59"/>
    </row>
    <row r="965" ht="16.5" customHeight="1">
      <c r="H965" s="59"/>
    </row>
    <row r="966" ht="16.5" customHeight="1">
      <c r="H966" s="59"/>
    </row>
    <row r="967" ht="16.5" customHeight="1">
      <c r="H967" s="59"/>
    </row>
    <row r="968" ht="16.5" customHeight="1">
      <c r="H968" s="59"/>
    </row>
    <row r="969" ht="16.5" customHeight="1">
      <c r="H969" s="59"/>
    </row>
    <row r="970" ht="16.5" customHeight="1">
      <c r="H970" s="59"/>
    </row>
    <row r="971" ht="16.5" customHeight="1">
      <c r="H971" s="59"/>
    </row>
    <row r="972" ht="16.5" customHeight="1">
      <c r="H972" s="59"/>
    </row>
    <row r="973" ht="16.5" customHeight="1">
      <c r="H973" s="59"/>
    </row>
    <row r="974" ht="16.5" customHeight="1">
      <c r="H974" s="59"/>
    </row>
    <row r="975" ht="16.5" customHeight="1">
      <c r="H975" s="59"/>
    </row>
    <row r="976" ht="16.5" customHeight="1">
      <c r="H976" s="59"/>
    </row>
    <row r="977" ht="16.5" customHeight="1">
      <c r="H977" s="59"/>
    </row>
    <row r="978" ht="16.5" customHeight="1">
      <c r="H978" s="59"/>
    </row>
    <row r="979" ht="16.5" customHeight="1">
      <c r="H979" s="59"/>
    </row>
    <row r="980" ht="16.5" customHeight="1">
      <c r="H980" s="59"/>
    </row>
    <row r="981" ht="16.5" customHeight="1">
      <c r="H981" s="59"/>
    </row>
    <row r="982" ht="16.5" customHeight="1">
      <c r="H982" s="59"/>
    </row>
    <row r="983" ht="16.5" customHeight="1">
      <c r="H983" s="59"/>
    </row>
    <row r="984" ht="16.5" customHeight="1">
      <c r="H984" s="59"/>
    </row>
    <row r="985" ht="16.5" customHeight="1">
      <c r="H985" s="59"/>
    </row>
    <row r="986" ht="16.5" customHeight="1">
      <c r="H986" s="59"/>
    </row>
    <row r="987" ht="16.5" customHeight="1">
      <c r="H987" s="59"/>
    </row>
    <row r="988" ht="16.5" customHeight="1">
      <c r="H988" s="59"/>
    </row>
    <row r="989" ht="16.5" customHeight="1">
      <c r="H989" s="59"/>
    </row>
    <row r="990" ht="16.5" customHeight="1">
      <c r="H990" s="59"/>
    </row>
    <row r="991" ht="16.5" customHeight="1">
      <c r="H991" s="59"/>
    </row>
    <row r="992" ht="16.5" customHeight="1">
      <c r="H992" s="59"/>
    </row>
    <row r="993" ht="16.5" customHeight="1">
      <c r="H993" s="59"/>
    </row>
    <row r="994" ht="16.5" customHeight="1">
      <c r="H994" s="59"/>
    </row>
    <row r="995" ht="16.5" customHeight="1">
      <c r="H995" s="59"/>
    </row>
    <row r="996" ht="16.5" customHeight="1">
      <c r="H996" s="59"/>
    </row>
    <row r="997" ht="16.5" customHeight="1">
      <c r="H997" s="59"/>
    </row>
    <row r="998" ht="16.5" customHeight="1">
      <c r="H998" s="59"/>
    </row>
    <row r="999" ht="16.5" customHeight="1">
      <c r="H999" s="59"/>
    </row>
    <row r="1000" ht="16.5" customHeight="1">
      <c r="H1000" s="59"/>
    </row>
    <row r="1001" ht="16.5" customHeight="1">
      <c r="H1001" s="59"/>
    </row>
    <row r="1002" ht="16.5" customHeight="1">
      <c r="H1002" s="59"/>
    </row>
    <row r="1003" ht="16.5" customHeight="1">
      <c r="H1003" s="59"/>
    </row>
    <row r="1004" ht="16.5" customHeight="1">
      <c r="H1004" s="59"/>
    </row>
    <row r="1005" ht="16.5" customHeight="1">
      <c r="H1005" s="59"/>
    </row>
    <row r="1006" ht="16.5" customHeight="1">
      <c r="H1006" s="59"/>
    </row>
    <row r="1007" ht="16.5" customHeight="1">
      <c r="H1007" s="59"/>
    </row>
    <row r="1008" ht="16.5" customHeight="1">
      <c r="H1008" s="59"/>
    </row>
    <row r="1009" ht="16.5" customHeight="1">
      <c r="H1009" s="59"/>
    </row>
    <row r="1010" ht="16.5" customHeight="1">
      <c r="H1010" s="59"/>
    </row>
    <row r="1011" ht="16.5" customHeight="1">
      <c r="H1011" s="59"/>
    </row>
    <row r="1012" ht="16.5" customHeight="1">
      <c r="H1012" s="59"/>
    </row>
    <row r="1013" ht="16.5" customHeight="1">
      <c r="H1013" s="59"/>
    </row>
    <row r="1014" ht="16.5" customHeight="1">
      <c r="H1014" s="59"/>
    </row>
    <row r="1015" ht="16.5" customHeight="1">
      <c r="H1015" s="59"/>
    </row>
    <row r="1016" ht="16.5" customHeight="1">
      <c r="H1016" s="59"/>
    </row>
    <row r="1017" ht="16.5" customHeight="1">
      <c r="H1017" s="59"/>
    </row>
    <row r="1018" ht="16.5" customHeight="1">
      <c r="H1018" s="59"/>
    </row>
    <row r="1019" ht="16.5" customHeight="1">
      <c r="H1019" s="59"/>
    </row>
    <row r="1020" ht="16.5" customHeight="1">
      <c r="H1020" s="59"/>
    </row>
    <row r="1021" ht="16.5" customHeight="1">
      <c r="H1021" s="59"/>
    </row>
    <row r="1022" ht="16.5" customHeight="1">
      <c r="H1022" s="59"/>
    </row>
    <row r="1023" ht="16.5" customHeight="1">
      <c r="H1023" s="59"/>
    </row>
    <row r="1024" ht="16.5" customHeight="1">
      <c r="H1024" s="59"/>
    </row>
    <row r="1025" ht="16.5" customHeight="1">
      <c r="H1025" s="59"/>
    </row>
    <row r="1026" ht="16.5" customHeight="1">
      <c r="H1026" s="59"/>
    </row>
    <row r="1027" ht="16.5" customHeight="1">
      <c r="H1027" s="59"/>
    </row>
    <row r="1028" ht="16.5" customHeight="1">
      <c r="H1028" s="59"/>
    </row>
    <row r="1029" ht="16.5" customHeight="1">
      <c r="H1029" s="59"/>
    </row>
    <row r="1030" ht="16.5" customHeight="1">
      <c r="H1030" s="59"/>
    </row>
    <row r="1031" ht="16.5" customHeight="1">
      <c r="H1031" s="59"/>
    </row>
    <row r="1032" ht="16.5" customHeight="1">
      <c r="H1032" s="59"/>
    </row>
    <row r="1033" ht="16.5" customHeight="1">
      <c r="H1033" s="59"/>
    </row>
    <row r="1034" ht="16.5" customHeight="1">
      <c r="H1034" s="59"/>
    </row>
    <row r="1035" ht="16.5" customHeight="1">
      <c r="H1035" s="59"/>
    </row>
    <row r="1036" ht="16.5" customHeight="1">
      <c r="H1036" s="59"/>
    </row>
    <row r="1037" ht="16.5" customHeight="1">
      <c r="H1037" s="59"/>
    </row>
  </sheetData>
  <autoFilter ref="$A$4:$V$59"/>
  <mergeCells count="2">
    <mergeCell ref="A1:T1"/>
    <mergeCell ref="A2:T2"/>
  </mergeCells>
  <conditionalFormatting sqref="V5:V59">
    <cfRule type="notContainsBlanks" dxfId="1" priority="1">
      <formula>LEN(TRIM(V5))&gt;0</formula>
    </cfRule>
  </conditionalFormatting>
  <dataValidations>
    <dataValidation type="list" allowBlank="1" sqref="P5:P81">
      <formula1>"Students only,Faculty only,Students and Faculty,Researchers only,Whole community"</formula1>
    </dataValidation>
    <dataValidation type="list" allowBlank="1" sqref="J5:J81">
      <formula1>"Prohibitive,Cautious,Encouraging,Functional,Not Specified"</formula1>
    </dataValidation>
    <dataValidation type="list" allowBlank="1" sqref="B5:B81">
      <formula1>"National/Federal,City/Territory,Institutional,Faculty/Department,Course-wide"</formula1>
    </dataValidation>
    <dataValidation type="list" allowBlank="1" sqref="K5:K81">
      <formula1>"Required,Recommended,Not specified,Conditional"</formula1>
    </dataValidation>
    <dataValidation type="list" allowBlank="1" sqref="L5:L81">
      <formula1>"Instructor decides,Faculty/Dept decides,Gov-mandated,Institution-mandated,Hybrid,Not specified"</formula1>
    </dataValidation>
    <dataValidation type="list" allowBlank="1" sqref="G5:G81">
      <formula1>"Law/Regulation,Executive Order,Official Guidance,University Policy,Library Guide,Syllabus,FAQ/Resource Page,Syllabus Library,Other"</formula1>
    </dataValidation>
    <dataValidation type="list" allowBlank="1" sqref="M5:N81">
      <formula1>"Academic Integrity,AI Literacy,Privacy/Data/Ethics,Equity,Pedagogy/Learning,Professional Readiness,Not specified"</formula1>
    </dataValidation>
    <dataValidation type="list" allowBlank="1" sqref="O5:O81">
      <formula1>"Explicit penalties,Referenced to integrity code,Guidance only,None stated"</formula1>
    </dataValidation>
    <dataValidation type="list" allowBlank="1" sqref="C5:C81">
      <formula1>"NYC,Hong Kong"</formula1>
    </dataValidation>
  </dataValidations>
  <hyperlinks>
    <hyperlink r:id="rId2" ref="I5"/>
    <hyperlink r:id="rId3" ref="I6"/>
    <hyperlink r:id="rId4" ref="I7"/>
    <hyperlink r:id="rId5" ref="I8"/>
    <hyperlink r:id="rId6" ref="I9"/>
    <hyperlink r:id="rId7" ref="I10"/>
    <hyperlink r:id="rId8" ref="I11"/>
    <hyperlink r:id="rId9" ref="I12"/>
    <hyperlink r:id="rId10" ref="I13"/>
    <hyperlink r:id="rId11" ref="I14"/>
    <hyperlink r:id="rId12" ref="I15"/>
    <hyperlink r:id="rId13" ref="I16"/>
    <hyperlink r:id="rId14" ref="I17"/>
    <hyperlink r:id="rId15" ref="I18"/>
    <hyperlink r:id="rId16" ref="I19"/>
    <hyperlink r:id="rId17" ref="I20"/>
    <hyperlink r:id="rId18" ref="I21"/>
    <hyperlink r:id="rId19" ref="I22"/>
    <hyperlink r:id="rId20" ref="I23"/>
    <hyperlink r:id="rId21" ref="I24"/>
    <hyperlink r:id="rId22" ref="I25"/>
    <hyperlink r:id="rId23" ref="I26"/>
    <hyperlink r:id="rId24" ref="I27"/>
    <hyperlink r:id="rId25" ref="I28"/>
    <hyperlink r:id="rId26" ref="I29"/>
    <hyperlink r:id="rId27" ref="I30"/>
    <hyperlink r:id="rId28" ref="I31"/>
    <hyperlink r:id="rId29" ref="I32"/>
    <hyperlink r:id="rId30" ref="I33"/>
    <hyperlink r:id="rId31" ref="I34"/>
    <hyperlink r:id="rId32" ref="I35"/>
    <hyperlink r:id="rId33" ref="I36"/>
    <hyperlink r:id="rId34" ref="I37"/>
    <hyperlink r:id="rId35" ref="I38"/>
    <hyperlink r:id="rId36" ref="I39"/>
    <hyperlink r:id="rId37" ref="I40"/>
    <hyperlink r:id="rId38" ref="I41"/>
    <hyperlink r:id="rId39" ref="I42"/>
    <hyperlink r:id="rId40" ref="I43"/>
    <hyperlink r:id="rId41" ref="I44"/>
    <hyperlink r:id="rId42" ref="I45"/>
    <hyperlink r:id="rId43" ref="I46"/>
    <hyperlink r:id="rId44" ref="I47"/>
    <hyperlink r:id="rId45" ref="I48"/>
    <hyperlink r:id="rId46" ref="I49"/>
    <hyperlink r:id="rId47" ref="I50"/>
    <hyperlink r:id="rId48" ref="I51"/>
    <hyperlink r:id="rId49" ref="I52"/>
    <hyperlink r:id="rId50" ref="I53"/>
    <hyperlink r:id="rId51" ref="I54"/>
    <hyperlink r:id="rId52" ref="I55"/>
    <hyperlink r:id="rId53" ref="I56"/>
    <hyperlink r:id="rId54" ref="I57"/>
    <hyperlink r:id="rId55" ref="I58"/>
    <hyperlink r:id="rId56" ref="I59"/>
  </hyperlinks>
  <printOptions/>
  <pageMargins bottom="1.0" footer="0.0" header="0.0" left="0.75" right="0.75" top="1.0"/>
  <pageSetup paperSize="9" orientation="portrait"/>
  <drawing r:id="rId57"/>
  <legacyDrawing r:id="rId5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26.0"/>
    <col customWidth="1" min="2" max="2" width="66.43"/>
    <col customWidth="1" min="3" max="3" width="27.71"/>
    <col customWidth="1" min="4" max="4" width="8.71"/>
    <col customWidth="1" min="5" max="5" width="13.57"/>
    <col customWidth="1" min="6" max="6" width="21.86"/>
    <col customWidth="1" min="7" max="7" width="67.43"/>
    <col customWidth="1" min="8" max="26" width="8.71"/>
  </cols>
  <sheetData>
    <row r="1" ht="16.5" customHeight="1">
      <c r="A1" s="1" t="s">
        <v>926</v>
      </c>
      <c r="F1" s="18"/>
    </row>
    <row r="2" ht="16.5" customHeight="1"/>
    <row r="3" ht="16.5" customHeight="1">
      <c r="A3" s="83" t="s">
        <v>2</v>
      </c>
      <c r="B3" s="84"/>
      <c r="C3" s="84"/>
    </row>
    <row r="4" ht="16.5" customHeight="1">
      <c r="A4" s="85" t="s">
        <v>927</v>
      </c>
      <c r="B4" s="86" t="s">
        <v>928</v>
      </c>
      <c r="C4" s="86" t="s">
        <v>929</v>
      </c>
    </row>
    <row r="5" ht="16.5" customHeight="1">
      <c r="A5" s="87" t="s">
        <v>23</v>
      </c>
      <c r="B5" s="88" t="s">
        <v>930</v>
      </c>
      <c r="C5" s="88" t="s">
        <v>931</v>
      </c>
    </row>
    <row r="6" ht="16.5" customHeight="1">
      <c r="A6" s="87" t="s">
        <v>932</v>
      </c>
      <c r="B6" s="88" t="s">
        <v>933</v>
      </c>
      <c r="C6" s="88" t="s">
        <v>934</v>
      </c>
    </row>
    <row r="7" ht="16.5" customHeight="1">
      <c r="A7" s="87" t="s">
        <v>90</v>
      </c>
      <c r="B7" s="88" t="s">
        <v>935</v>
      </c>
      <c r="C7" s="88" t="s">
        <v>936</v>
      </c>
    </row>
    <row r="8" ht="16.5" customHeight="1">
      <c r="A8" s="87" t="s">
        <v>352</v>
      </c>
      <c r="B8" s="88" t="s">
        <v>937</v>
      </c>
      <c r="C8" s="88" t="s">
        <v>938</v>
      </c>
    </row>
    <row r="9" ht="16.5" customHeight="1">
      <c r="A9" s="87" t="s">
        <v>174</v>
      </c>
      <c r="B9" s="88" t="s">
        <v>939</v>
      </c>
      <c r="C9" s="88" t="s">
        <v>940</v>
      </c>
    </row>
    <row r="10" ht="16.5" customHeight="1"/>
    <row r="11" ht="16.5" customHeight="1"/>
    <row r="12" ht="16.5" customHeight="1">
      <c r="A12" s="89" t="s">
        <v>10</v>
      </c>
      <c r="B12" s="84"/>
      <c r="C12" s="84"/>
    </row>
    <row r="13" ht="15.0" customHeight="1">
      <c r="A13" s="90" t="s">
        <v>927</v>
      </c>
      <c r="B13" s="91" t="s">
        <v>928</v>
      </c>
      <c r="C13" s="92" t="s">
        <v>929</v>
      </c>
      <c r="E13" s="93"/>
      <c r="F13" s="93"/>
      <c r="G13" s="93"/>
    </row>
    <row r="14" ht="36.0" customHeight="1">
      <c r="A14" s="94" t="s">
        <v>180</v>
      </c>
      <c r="B14" s="95" t="s">
        <v>941</v>
      </c>
      <c r="C14" s="96" t="s">
        <v>942</v>
      </c>
      <c r="E14" s="97"/>
      <c r="F14" s="98"/>
      <c r="G14" s="99"/>
    </row>
    <row r="15" ht="36.0" customHeight="1">
      <c r="A15" s="94" t="s">
        <v>57</v>
      </c>
      <c r="B15" s="95" t="s">
        <v>943</v>
      </c>
      <c r="C15" s="96" t="s">
        <v>944</v>
      </c>
      <c r="E15" s="97"/>
      <c r="F15" s="98"/>
      <c r="G15" s="99"/>
    </row>
    <row r="16" ht="36.0" customHeight="1">
      <c r="A16" s="94" t="s">
        <v>945</v>
      </c>
      <c r="B16" s="100" t="s">
        <v>946</v>
      </c>
      <c r="C16" s="96" t="s">
        <v>947</v>
      </c>
      <c r="E16" s="97"/>
      <c r="F16" s="98"/>
      <c r="G16" s="99"/>
    </row>
    <row r="17" ht="36.0" customHeight="1">
      <c r="A17" s="94" t="s">
        <v>42</v>
      </c>
      <c r="B17" s="95" t="s">
        <v>948</v>
      </c>
      <c r="C17" s="96" t="s">
        <v>949</v>
      </c>
      <c r="E17" s="97"/>
      <c r="F17" s="98"/>
      <c r="G17" s="99"/>
    </row>
    <row r="18" ht="36.0" customHeight="1">
      <c r="E18" s="97"/>
      <c r="F18" s="98"/>
      <c r="G18" s="99"/>
    </row>
    <row r="19" ht="16.5" customHeight="1">
      <c r="A19" s="101" t="s">
        <v>11</v>
      </c>
      <c r="B19" s="84"/>
      <c r="C19" s="84"/>
      <c r="F19" s="98"/>
      <c r="G19" s="99"/>
    </row>
    <row r="20" ht="16.5" customHeight="1">
      <c r="A20" s="102" t="s">
        <v>927</v>
      </c>
      <c r="B20" s="103" t="s">
        <v>928</v>
      </c>
      <c r="C20" s="104" t="s">
        <v>929</v>
      </c>
    </row>
    <row r="21" ht="15.0" customHeight="1">
      <c r="A21" s="94" t="s">
        <v>82</v>
      </c>
      <c r="B21" s="95" t="s">
        <v>950</v>
      </c>
      <c r="C21" s="96" t="s">
        <v>951</v>
      </c>
    </row>
    <row r="22" ht="36.0" customHeight="1">
      <c r="A22" s="94" t="s">
        <v>58</v>
      </c>
      <c r="B22" s="95" t="s">
        <v>952</v>
      </c>
      <c r="C22" s="96" t="s">
        <v>953</v>
      </c>
    </row>
    <row r="23" ht="36.0" customHeight="1">
      <c r="A23" s="94" t="s">
        <v>954</v>
      </c>
      <c r="B23" s="95" t="s">
        <v>955</v>
      </c>
      <c r="C23" s="96" t="s">
        <v>956</v>
      </c>
    </row>
    <row r="24" ht="36.0" customHeight="1">
      <c r="A24" s="94" t="s">
        <v>30</v>
      </c>
      <c r="B24" s="95" t="s">
        <v>957</v>
      </c>
      <c r="C24" s="96"/>
    </row>
    <row r="25" ht="36.0" customHeight="1"/>
    <row r="26" ht="16.5" customHeight="1">
      <c r="A26" s="105" t="s">
        <v>12</v>
      </c>
      <c r="B26" s="84"/>
      <c r="C26" s="84"/>
    </row>
    <row r="27" ht="16.5" customHeight="1">
      <c r="A27" s="102" t="s">
        <v>927</v>
      </c>
      <c r="B27" s="103" t="s">
        <v>928</v>
      </c>
      <c r="C27" s="104" t="s">
        <v>929</v>
      </c>
    </row>
    <row r="28" ht="36.0" customHeight="1">
      <c r="A28" s="94" t="s">
        <v>958</v>
      </c>
      <c r="B28" s="100" t="s">
        <v>959</v>
      </c>
      <c r="C28" s="96"/>
    </row>
    <row r="29" ht="36.0" customHeight="1">
      <c r="A29" s="94" t="s">
        <v>960</v>
      </c>
      <c r="B29" s="100" t="s">
        <v>961</v>
      </c>
      <c r="C29" s="96"/>
    </row>
    <row r="30" ht="31.5" customHeight="1">
      <c r="A30" s="94" t="s">
        <v>355</v>
      </c>
      <c r="B30" s="100" t="s">
        <v>962</v>
      </c>
      <c r="C30" s="96"/>
    </row>
    <row r="31" ht="33.75" customHeight="1">
      <c r="A31" s="94" t="s">
        <v>103</v>
      </c>
      <c r="B31" s="100" t="s">
        <v>963</v>
      </c>
      <c r="C31" s="96"/>
    </row>
    <row r="32" ht="33.75" customHeight="1">
      <c r="A32" s="94" t="s">
        <v>306</v>
      </c>
      <c r="B32" s="100" t="s">
        <v>964</v>
      </c>
      <c r="C32" s="96"/>
    </row>
    <row r="33" ht="36.0" customHeight="1">
      <c r="A33" s="94" t="s">
        <v>30</v>
      </c>
      <c r="B33" s="100" t="s">
        <v>965</v>
      </c>
      <c r="C33" s="96"/>
    </row>
    <row r="34" ht="36.0" customHeight="1">
      <c r="A34" s="106"/>
      <c r="B34" s="99"/>
      <c r="C34" s="16"/>
    </row>
    <row r="35" ht="36.0" customHeight="1"/>
    <row r="36" ht="16.5" customHeight="1">
      <c r="A36" s="107" t="s">
        <v>966</v>
      </c>
      <c r="B36" s="84"/>
      <c r="C36" s="84"/>
    </row>
    <row r="37" ht="16.5" customHeight="1">
      <c r="A37" s="102" t="s">
        <v>927</v>
      </c>
      <c r="B37" s="103" t="s">
        <v>928</v>
      </c>
      <c r="C37" s="104" t="s">
        <v>929</v>
      </c>
    </row>
    <row r="38" ht="27.0" customHeight="1">
      <c r="A38" s="108" t="s">
        <v>96</v>
      </c>
      <c r="B38" s="109" t="s">
        <v>967</v>
      </c>
      <c r="C38" s="96" t="s">
        <v>968</v>
      </c>
    </row>
    <row r="39" ht="55.5" customHeight="1">
      <c r="A39" s="108" t="s">
        <v>45</v>
      </c>
      <c r="B39" s="109" t="s">
        <v>969</v>
      </c>
      <c r="C39" s="96" t="s">
        <v>970</v>
      </c>
    </row>
    <row r="40" ht="41.25" customHeight="1">
      <c r="A40" s="108" t="s">
        <v>971</v>
      </c>
      <c r="B40" s="109" t="s">
        <v>972</v>
      </c>
      <c r="C40" s="96" t="s">
        <v>973</v>
      </c>
    </row>
    <row r="41" ht="36.0" customHeight="1">
      <c r="A41" s="108" t="s">
        <v>59</v>
      </c>
      <c r="B41" s="109" t="s">
        <v>974</v>
      </c>
      <c r="C41" s="96" t="s">
        <v>975</v>
      </c>
    </row>
    <row r="42" ht="55.5" customHeight="1">
      <c r="A42" s="110" t="s">
        <v>976</v>
      </c>
      <c r="B42" s="111" t="s">
        <v>977</v>
      </c>
      <c r="C42" s="111" t="s">
        <v>978</v>
      </c>
    </row>
    <row r="43" ht="16.5" customHeight="1">
      <c r="A43" s="112" t="s">
        <v>979</v>
      </c>
      <c r="B43" s="111" t="s">
        <v>980</v>
      </c>
      <c r="C43" s="111" t="s">
        <v>981</v>
      </c>
    </row>
    <row r="44" ht="16.5" customHeight="1"/>
    <row r="45" ht="16.5" customHeight="1"/>
    <row r="46" ht="16.5" customHeight="1">
      <c r="A46" s="113" t="s">
        <v>15</v>
      </c>
      <c r="B46" s="84"/>
      <c r="C46" s="84"/>
    </row>
    <row r="47" ht="16.5" customHeight="1">
      <c r="A47" s="102" t="s">
        <v>927</v>
      </c>
      <c r="B47" s="103" t="s">
        <v>928</v>
      </c>
      <c r="C47" s="104" t="s">
        <v>929</v>
      </c>
    </row>
    <row r="48" ht="16.5" customHeight="1">
      <c r="A48" s="94" t="s">
        <v>110</v>
      </c>
      <c r="B48" s="100" t="s">
        <v>982</v>
      </c>
      <c r="C48" s="96" t="s">
        <v>983</v>
      </c>
    </row>
    <row r="49" ht="16.5" customHeight="1">
      <c r="A49" s="94" t="s">
        <v>97</v>
      </c>
      <c r="B49" s="100" t="s">
        <v>984</v>
      </c>
      <c r="C49" s="96" t="s">
        <v>985</v>
      </c>
    </row>
    <row r="50" ht="16.5" customHeight="1">
      <c r="A50" s="94" t="s">
        <v>34</v>
      </c>
      <c r="B50" s="100" t="s">
        <v>986</v>
      </c>
      <c r="C50" s="96" t="s">
        <v>987</v>
      </c>
    </row>
    <row r="51" ht="16.5" customHeight="1">
      <c r="A51" s="94" t="s">
        <v>300</v>
      </c>
      <c r="B51" s="100" t="s">
        <v>988</v>
      </c>
      <c r="C51" s="96"/>
    </row>
    <row r="52" ht="16.5" customHeight="1"/>
    <row r="53" ht="16.5" customHeight="1"/>
    <row r="54" ht="16.5" customHeight="1">
      <c r="A54" s="114" t="s">
        <v>16</v>
      </c>
      <c r="B54" s="84"/>
      <c r="C54" s="84"/>
    </row>
    <row r="55" ht="16.5" customHeight="1">
      <c r="A55" s="102" t="s">
        <v>927</v>
      </c>
      <c r="B55" s="103" t="s">
        <v>928</v>
      </c>
      <c r="C55" s="104" t="s">
        <v>929</v>
      </c>
    </row>
    <row r="56" ht="16.5" customHeight="1">
      <c r="A56" s="94" t="s">
        <v>151</v>
      </c>
      <c r="B56" s="100" t="s">
        <v>989</v>
      </c>
      <c r="C56" s="96" t="s">
        <v>990</v>
      </c>
    </row>
    <row r="57" ht="16.5" customHeight="1">
      <c r="A57" s="94" t="s">
        <v>111</v>
      </c>
      <c r="B57" s="100" t="s">
        <v>991</v>
      </c>
      <c r="C57" s="96" t="s">
        <v>992</v>
      </c>
    </row>
    <row r="58" ht="16.5" customHeight="1">
      <c r="A58" s="94" t="s">
        <v>314</v>
      </c>
      <c r="B58" s="100" t="s">
        <v>993</v>
      </c>
      <c r="C58" s="96" t="s">
        <v>994</v>
      </c>
    </row>
    <row r="59" ht="16.5" customHeight="1">
      <c r="A59" s="94" t="s">
        <v>758</v>
      </c>
      <c r="B59" s="100" t="s">
        <v>995</v>
      </c>
      <c r="C59" s="96" t="s">
        <v>996</v>
      </c>
    </row>
    <row r="60" ht="16.5" customHeight="1">
      <c r="A60" s="94" t="s">
        <v>271</v>
      </c>
      <c r="B60" s="100" t="s">
        <v>997</v>
      </c>
      <c r="C60" s="96" t="s">
        <v>998</v>
      </c>
    </row>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row r="1002" ht="16.5" customHeight="1"/>
  </sheetData>
  <mergeCells count="8">
    <mergeCell ref="A1:C1"/>
    <mergeCell ref="A3:C3"/>
    <mergeCell ref="A12:C12"/>
    <mergeCell ref="A19:C19"/>
    <mergeCell ref="A26:C26"/>
    <mergeCell ref="A36:C36"/>
    <mergeCell ref="A46:C46"/>
    <mergeCell ref="A54:C54"/>
  </mergeCells>
  <printOptions/>
  <pageMargins bottom="1.0" footer="0.0" header="0.0" left="0.75" right="0.75" top="1.0"/>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hidden="1" min="4" max="4" width="14.43"/>
    <col hidden="1" min="6" max="6" width="14.43"/>
    <col hidden="1" min="8" max="9" width="14.43"/>
    <col hidden="1" min="14" max="14" width="14.43"/>
    <col hidden="1" min="17" max="20" width="14.43"/>
  </cols>
  <sheetData>
    <row r="1">
      <c r="A1" s="115" t="str">
        <f t="array" ref="A1:T81">{TEST_NYC_Coding!A4:T44; TEST_HK_Coding!A5:T44}</f>
        <v>ID</v>
      </c>
      <c r="B1" s="115" t="s">
        <v>2</v>
      </c>
      <c r="C1" s="115" t="s">
        <v>3</v>
      </c>
      <c r="D1" s="115" t="s">
        <v>4</v>
      </c>
      <c r="E1" s="115" t="s">
        <v>5</v>
      </c>
      <c r="F1" s="115" t="s">
        <v>6</v>
      </c>
      <c r="G1" s="115" t="s">
        <v>7</v>
      </c>
      <c r="H1" s="115" t="s">
        <v>8</v>
      </c>
      <c r="I1" s="115" t="s">
        <v>9</v>
      </c>
      <c r="J1" s="115" t="s">
        <v>10</v>
      </c>
      <c r="K1" s="115" t="s">
        <v>11</v>
      </c>
      <c r="L1" s="115" t="s">
        <v>12</v>
      </c>
      <c r="M1" s="115" t="s">
        <v>13</v>
      </c>
      <c r="N1" s="115" t="s">
        <v>14</v>
      </c>
      <c r="O1" s="115" t="s">
        <v>15</v>
      </c>
      <c r="P1" s="115" t="s">
        <v>16</v>
      </c>
      <c r="Q1" s="116" t="s">
        <v>17</v>
      </c>
      <c r="R1" s="116" t="s">
        <v>18</v>
      </c>
      <c r="S1" s="116" t="s">
        <v>19</v>
      </c>
      <c r="T1" s="116" t="s">
        <v>20</v>
      </c>
      <c r="U1" s="116" t="s">
        <v>999</v>
      </c>
      <c r="V1" s="116" t="s">
        <v>1000</v>
      </c>
      <c r="W1" s="116" t="s">
        <v>1001</v>
      </c>
      <c r="X1" s="116"/>
      <c r="Y1" s="116"/>
      <c r="Z1" s="116"/>
      <c r="AA1" s="116"/>
    </row>
    <row r="2">
      <c r="A2" s="117" t="s">
        <v>22</v>
      </c>
      <c r="B2" s="117" t="s">
        <v>23</v>
      </c>
      <c r="C2" s="117" t="s">
        <v>24</v>
      </c>
      <c r="D2" s="117" t="s">
        <v>25</v>
      </c>
      <c r="E2" s="117"/>
      <c r="F2" s="117" t="s">
        <v>26</v>
      </c>
      <c r="G2" s="117" t="s">
        <v>27</v>
      </c>
      <c r="H2" s="118">
        <v>45750.0</v>
      </c>
      <c r="I2" s="119" t="s">
        <v>28</v>
      </c>
      <c r="J2" s="117" t="s">
        <v>29</v>
      </c>
      <c r="K2" s="117" t="s">
        <v>30</v>
      </c>
      <c r="L2" s="117" t="s">
        <v>31</v>
      </c>
      <c r="M2" s="117" t="s">
        <v>32</v>
      </c>
      <c r="N2" s="117" t="s">
        <v>33</v>
      </c>
      <c r="O2" s="117" t="s">
        <v>34</v>
      </c>
      <c r="P2" s="117" t="s">
        <v>35</v>
      </c>
      <c r="Q2" s="18" t="s">
        <v>36</v>
      </c>
      <c r="R2" s="18"/>
      <c r="S2" s="18" t="s">
        <v>37</v>
      </c>
      <c r="T2" s="120">
        <v>46141.0</v>
      </c>
      <c r="U2" s="18">
        <f t="shared" ref="U2:U81" si="1">IFS($J2="Prohibitive", 0, $J2="Cautious", 1, $J2="Functional", 2, $J2="Encouraging", 3)</f>
        <v>2</v>
      </c>
      <c r="V2" s="18">
        <f t="shared" ref="V2:V81" si="2">IFS($B2="National/Federal", 1, $B2="State/Territory", 2, $B2="Institutional", 3, $B2="Faculty/School", 4, $B2="Course-wide", 5)</f>
        <v>1</v>
      </c>
      <c r="W2" s="18" t="str">
        <f t="shared" ref="W2:W81" si="3">IF($V2&gt;=3,"Internal","External")</f>
        <v>External</v>
      </c>
    </row>
    <row r="3">
      <c r="A3" s="117" t="s">
        <v>38</v>
      </c>
      <c r="B3" s="117" t="s">
        <v>23</v>
      </c>
      <c r="C3" s="117" t="s">
        <v>24</v>
      </c>
      <c r="D3" s="117" t="s">
        <v>39</v>
      </c>
      <c r="E3" s="117"/>
      <c r="F3" s="117" t="s">
        <v>40</v>
      </c>
      <c r="G3" s="117" t="s">
        <v>27</v>
      </c>
      <c r="H3" s="118">
        <v>45860.0</v>
      </c>
      <c r="I3" s="119" t="s">
        <v>41</v>
      </c>
      <c r="J3" s="117" t="s">
        <v>42</v>
      </c>
      <c r="K3" s="117" t="s">
        <v>30</v>
      </c>
      <c r="L3" s="117" t="s">
        <v>43</v>
      </c>
      <c r="M3" s="117" t="s">
        <v>44</v>
      </c>
      <c r="N3" s="117" t="s">
        <v>45</v>
      </c>
      <c r="O3" s="117" t="s">
        <v>34</v>
      </c>
      <c r="P3" s="117" t="s">
        <v>46</v>
      </c>
      <c r="Q3" s="18" t="s">
        <v>47</v>
      </c>
      <c r="R3" s="18"/>
      <c r="S3" s="18" t="s">
        <v>37</v>
      </c>
      <c r="T3" s="120">
        <v>46141.0</v>
      </c>
      <c r="U3" s="18">
        <f t="shared" si="1"/>
        <v>3</v>
      </c>
      <c r="V3" s="18">
        <f t="shared" si="2"/>
        <v>1</v>
      </c>
      <c r="W3" s="18" t="str">
        <f t="shared" si="3"/>
        <v>External</v>
      </c>
    </row>
    <row r="4">
      <c r="A4" s="117" t="s">
        <v>48</v>
      </c>
      <c r="B4" s="117" t="s">
        <v>23</v>
      </c>
      <c r="C4" s="117" t="s">
        <v>24</v>
      </c>
      <c r="D4" s="117" t="s">
        <v>49</v>
      </c>
      <c r="E4" s="117"/>
      <c r="F4" s="117" t="s">
        <v>50</v>
      </c>
      <c r="G4" s="117" t="s">
        <v>51</v>
      </c>
      <c r="H4" s="118">
        <v>45680.0</v>
      </c>
      <c r="I4" s="119" t="s">
        <v>52</v>
      </c>
      <c r="J4" s="117" t="s">
        <v>42</v>
      </c>
      <c r="K4" s="117" t="s">
        <v>30</v>
      </c>
      <c r="L4" s="117" t="s">
        <v>31</v>
      </c>
      <c r="M4" s="117" t="s">
        <v>33</v>
      </c>
      <c r="N4" s="117" t="s">
        <v>45</v>
      </c>
      <c r="O4" s="117" t="s">
        <v>34</v>
      </c>
      <c r="P4" s="117" t="s">
        <v>35</v>
      </c>
      <c r="Q4" s="18" t="s">
        <v>53</v>
      </c>
      <c r="R4" s="18"/>
      <c r="S4" s="18" t="s">
        <v>37</v>
      </c>
      <c r="T4" s="120">
        <v>46137.0</v>
      </c>
      <c r="U4" s="18">
        <f t="shared" si="1"/>
        <v>3</v>
      </c>
      <c r="V4" s="18">
        <f t="shared" si="2"/>
        <v>1</v>
      </c>
      <c r="W4" s="18" t="str">
        <f t="shared" si="3"/>
        <v>External</v>
      </c>
    </row>
    <row r="5">
      <c r="A5" s="117" t="s">
        <v>54</v>
      </c>
      <c r="B5" s="117" t="s">
        <v>23</v>
      </c>
      <c r="C5" s="117" t="s">
        <v>24</v>
      </c>
      <c r="D5" s="117" t="s">
        <v>39</v>
      </c>
      <c r="E5" s="117"/>
      <c r="F5" s="117" t="s">
        <v>55</v>
      </c>
      <c r="G5" s="117" t="s">
        <v>27</v>
      </c>
      <c r="H5" s="118">
        <v>45047.0</v>
      </c>
      <c r="I5" s="119" t="s">
        <v>56</v>
      </c>
      <c r="J5" s="117" t="s">
        <v>57</v>
      </c>
      <c r="K5" s="117" t="s">
        <v>58</v>
      </c>
      <c r="L5" s="117" t="s">
        <v>30</v>
      </c>
      <c r="M5" s="117" t="s">
        <v>44</v>
      </c>
      <c r="N5" s="117" t="s">
        <v>59</v>
      </c>
      <c r="O5" s="117" t="s">
        <v>34</v>
      </c>
      <c r="P5" s="117" t="s">
        <v>35</v>
      </c>
      <c r="Q5" s="18" t="s">
        <v>60</v>
      </c>
      <c r="R5" s="18"/>
      <c r="S5" s="18" t="s">
        <v>37</v>
      </c>
      <c r="T5" s="120">
        <v>46137.0</v>
      </c>
      <c r="U5" s="18">
        <f t="shared" si="1"/>
        <v>1</v>
      </c>
      <c r="V5" s="18">
        <f t="shared" si="2"/>
        <v>1</v>
      </c>
      <c r="W5" s="18" t="str">
        <f t="shared" si="3"/>
        <v>External</v>
      </c>
    </row>
    <row r="6">
      <c r="A6" s="117" t="s">
        <v>61</v>
      </c>
      <c r="B6" s="117" t="s">
        <v>23</v>
      </c>
      <c r="C6" s="117" t="s">
        <v>24</v>
      </c>
      <c r="D6" s="117" t="s">
        <v>62</v>
      </c>
      <c r="E6" s="117"/>
      <c r="F6" s="117" t="s">
        <v>63</v>
      </c>
      <c r="G6" s="117" t="s">
        <v>27</v>
      </c>
      <c r="H6" s="118">
        <v>45499.0</v>
      </c>
      <c r="I6" s="119" t="s">
        <v>64</v>
      </c>
      <c r="J6" s="117" t="s">
        <v>57</v>
      </c>
      <c r="K6" s="117" t="s">
        <v>58</v>
      </c>
      <c r="L6" s="117" t="s">
        <v>30</v>
      </c>
      <c r="M6" s="117" t="s">
        <v>32</v>
      </c>
      <c r="N6" s="117" t="s">
        <v>45</v>
      </c>
      <c r="O6" s="117" t="s">
        <v>34</v>
      </c>
      <c r="P6" s="117" t="s">
        <v>35</v>
      </c>
      <c r="Q6" s="18" t="s">
        <v>65</v>
      </c>
      <c r="R6" s="18" t="s">
        <v>66</v>
      </c>
      <c r="S6" s="18" t="s">
        <v>37</v>
      </c>
      <c r="T6" s="120">
        <v>46137.0</v>
      </c>
      <c r="U6" s="18">
        <f t="shared" si="1"/>
        <v>1</v>
      </c>
      <c r="V6" s="18">
        <f t="shared" si="2"/>
        <v>1</v>
      </c>
      <c r="W6" s="18" t="str">
        <f t="shared" si="3"/>
        <v>External</v>
      </c>
    </row>
    <row r="7">
      <c r="A7" s="117" t="s">
        <v>67</v>
      </c>
      <c r="B7" s="117" t="s">
        <v>68</v>
      </c>
      <c r="C7" s="117" t="s">
        <v>24</v>
      </c>
      <c r="D7" s="117" t="s">
        <v>69</v>
      </c>
      <c r="E7" s="117"/>
      <c r="F7" s="117" t="s">
        <v>70</v>
      </c>
      <c r="G7" s="117" t="s">
        <v>71</v>
      </c>
      <c r="H7" s="118">
        <v>45750.0</v>
      </c>
      <c r="I7" s="119" t="s">
        <v>72</v>
      </c>
      <c r="J7" s="117" t="s">
        <v>57</v>
      </c>
      <c r="K7" s="117" t="s">
        <v>58</v>
      </c>
      <c r="L7" s="117" t="s">
        <v>30</v>
      </c>
      <c r="M7" s="117" t="s">
        <v>32</v>
      </c>
      <c r="N7" s="117" t="s">
        <v>45</v>
      </c>
      <c r="O7" s="117" t="s">
        <v>34</v>
      </c>
      <c r="P7" s="117" t="s">
        <v>35</v>
      </c>
      <c r="Q7" s="18" t="s">
        <v>73</v>
      </c>
      <c r="R7" s="18"/>
      <c r="S7" s="18" t="s">
        <v>37</v>
      </c>
      <c r="T7" s="120">
        <v>46137.0</v>
      </c>
      <c r="U7" s="18">
        <f t="shared" si="1"/>
        <v>1</v>
      </c>
      <c r="V7" s="18">
        <f t="shared" si="2"/>
        <v>2</v>
      </c>
      <c r="W7" s="18" t="str">
        <f t="shared" si="3"/>
        <v>External</v>
      </c>
    </row>
    <row r="8">
      <c r="A8" s="117" t="s">
        <v>74</v>
      </c>
      <c r="B8" s="117" t="s">
        <v>68</v>
      </c>
      <c r="C8" s="117" t="s">
        <v>24</v>
      </c>
      <c r="D8" s="117" t="s">
        <v>75</v>
      </c>
      <c r="E8" s="117"/>
      <c r="F8" s="117" t="s">
        <v>76</v>
      </c>
      <c r="G8" s="117" t="s">
        <v>27</v>
      </c>
      <c r="H8" s="118">
        <v>46006.0</v>
      </c>
      <c r="I8" s="119" t="s">
        <v>77</v>
      </c>
      <c r="J8" s="117" t="s">
        <v>57</v>
      </c>
      <c r="K8" s="117" t="s">
        <v>58</v>
      </c>
      <c r="L8" s="117" t="s">
        <v>43</v>
      </c>
      <c r="M8" s="117" t="s">
        <v>59</v>
      </c>
      <c r="N8" s="117" t="s">
        <v>32</v>
      </c>
      <c r="O8" s="117" t="s">
        <v>34</v>
      </c>
      <c r="P8" s="117" t="s">
        <v>35</v>
      </c>
      <c r="Q8" s="18" t="s">
        <v>78</v>
      </c>
      <c r="R8" s="18"/>
      <c r="S8" s="18" t="s">
        <v>37</v>
      </c>
      <c r="T8" s="120">
        <v>46137.0</v>
      </c>
      <c r="U8" s="18">
        <f t="shared" si="1"/>
        <v>1</v>
      </c>
      <c r="V8" s="18">
        <f t="shared" si="2"/>
        <v>2</v>
      </c>
      <c r="W8" s="18" t="str">
        <f t="shared" si="3"/>
        <v>External</v>
      </c>
    </row>
    <row r="9">
      <c r="A9" s="117" t="s">
        <v>79</v>
      </c>
      <c r="B9" s="117" t="s">
        <v>68</v>
      </c>
      <c r="C9" s="117" t="s">
        <v>24</v>
      </c>
      <c r="D9" s="117" t="s">
        <v>75</v>
      </c>
      <c r="E9" s="117"/>
      <c r="F9" s="117" t="s">
        <v>80</v>
      </c>
      <c r="G9" s="117" t="s">
        <v>27</v>
      </c>
      <c r="H9" s="118">
        <v>46021.0</v>
      </c>
      <c r="I9" s="119" t="s">
        <v>81</v>
      </c>
      <c r="J9" s="117" t="s">
        <v>57</v>
      </c>
      <c r="K9" s="117" t="s">
        <v>82</v>
      </c>
      <c r="L9" s="117" t="s">
        <v>43</v>
      </c>
      <c r="M9" s="117" t="s">
        <v>32</v>
      </c>
      <c r="N9" s="117" t="s">
        <v>45</v>
      </c>
      <c r="O9" s="117" t="s">
        <v>34</v>
      </c>
      <c r="P9" s="117" t="s">
        <v>35</v>
      </c>
      <c r="Q9" s="18" t="s">
        <v>83</v>
      </c>
      <c r="R9" s="18"/>
      <c r="S9" s="18" t="s">
        <v>37</v>
      </c>
      <c r="T9" s="120">
        <v>46137.0</v>
      </c>
      <c r="U9" s="18">
        <f t="shared" si="1"/>
        <v>1</v>
      </c>
      <c r="V9" s="18">
        <f t="shared" si="2"/>
        <v>2</v>
      </c>
      <c r="W9" s="18" t="str">
        <f t="shared" si="3"/>
        <v>External</v>
      </c>
    </row>
    <row r="10">
      <c r="A10" s="117" t="s">
        <v>84</v>
      </c>
      <c r="B10" s="117" t="s">
        <v>68</v>
      </c>
      <c r="C10" s="117" t="s">
        <v>24</v>
      </c>
      <c r="D10" s="117" t="s">
        <v>85</v>
      </c>
      <c r="E10" s="117"/>
      <c r="F10" s="117" t="s">
        <v>86</v>
      </c>
      <c r="G10" s="117" t="s">
        <v>27</v>
      </c>
      <c r="H10" s="118">
        <v>45292.0</v>
      </c>
      <c r="I10" s="119" t="s">
        <v>87</v>
      </c>
      <c r="J10" s="117" t="s">
        <v>57</v>
      </c>
      <c r="K10" s="117" t="s">
        <v>82</v>
      </c>
      <c r="L10" s="117" t="s">
        <v>43</v>
      </c>
      <c r="M10" s="117" t="s">
        <v>32</v>
      </c>
      <c r="N10" s="117" t="s">
        <v>59</v>
      </c>
      <c r="O10" s="117" t="s">
        <v>34</v>
      </c>
      <c r="P10" s="117" t="s">
        <v>35</v>
      </c>
      <c r="Q10" s="18" t="s">
        <v>88</v>
      </c>
      <c r="R10" s="18"/>
      <c r="S10" s="18" t="s">
        <v>37</v>
      </c>
      <c r="T10" s="120">
        <v>46137.0</v>
      </c>
      <c r="U10" s="18">
        <f t="shared" si="1"/>
        <v>1</v>
      </c>
      <c r="V10" s="18">
        <f t="shared" si="2"/>
        <v>2</v>
      </c>
      <c r="W10" s="18" t="str">
        <f t="shared" si="3"/>
        <v>External</v>
      </c>
    </row>
    <row r="11">
      <c r="A11" s="117" t="s">
        <v>89</v>
      </c>
      <c r="B11" s="117" t="s">
        <v>90</v>
      </c>
      <c r="C11" s="117" t="s">
        <v>24</v>
      </c>
      <c r="D11" s="117" t="s">
        <v>91</v>
      </c>
      <c r="E11" s="117" t="s">
        <v>92</v>
      </c>
      <c r="F11" s="117" t="s">
        <v>93</v>
      </c>
      <c r="G11" s="117" t="s">
        <v>94</v>
      </c>
      <c r="H11" s="117">
        <v>2025.0</v>
      </c>
      <c r="I11" s="119" t="s">
        <v>95</v>
      </c>
      <c r="J11" s="117" t="s">
        <v>57</v>
      </c>
      <c r="K11" s="117" t="s">
        <v>82</v>
      </c>
      <c r="L11" s="117" t="s">
        <v>43</v>
      </c>
      <c r="M11" s="117" t="s">
        <v>96</v>
      </c>
      <c r="N11" s="117" t="s">
        <v>32</v>
      </c>
      <c r="O11" s="117" t="s">
        <v>97</v>
      </c>
      <c r="P11" s="117" t="s">
        <v>46</v>
      </c>
      <c r="Q11" s="18" t="s">
        <v>98</v>
      </c>
      <c r="R11" s="18"/>
      <c r="S11" s="18" t="s">
        <v>37</v>
      </c>
      <c r="T11" s="120">
        <v>46137.0</v>
      </c>
      <c r="U11" s="18">
        <f t="shared" si="1"/>
        <v>1</v>
      </c>
      <c r="V11" s="18">
        <f t="shared" si="2"/>
        <v>3</v>
      </c>
      <c r="W11" s="18" t="str">
        <f t="shared" si="3"/>
        <v>Internal</v>
      </c>
    </row>
    <row r="12">
      <c r="A12" s="117" t="s">
        <v>99</v>
      </c>
      <c r="B12" s="117" t="s">
        <v>90</v>
      </c>
      <c r="C12" s="117" t="s">
        <v>24</v>
      </c>
      <c r="D12" s="117" t="s">
        <v>91</v>
      </c>
      <c r="E12" s="117" t="s">
        <v>92</v>
      </c>
      <c r="F12" s="117" t="s">
        <v>100</v>
      </c>
      <c r="G12" s="117" t="s">
        <v>94</v>
      </c>
      <c r="H12" s="118">
        <v>46031.0</v>
      </c>
      <c r="I12" s="119" t="s">
        <v>101</v>
      </c>
      <c r="J12" s="117" t="s">
        <v>29</v>
      </c>
      <c r="K12" s="117" t="s">
        <v>102</v>
      </c>
      <c r="L12" s="117" t="s">
        <v>103</v>
      </c>
      <c r="M12" s="117" t="s">
        <v>32</v>
      </c>
      <c r="N12" s="117" t="s">
        <v>45</v>
      </c>
      <c r="O12" s="117" t="s">
        <v>34</v>
      </c>
      <c r="P12" s="117" t="s">
        <v>46</v>
      </c>
      <c r="Q12" s="18" t="s">
        <v>104</v>
      </c>
      <c r="R12" s="18"/>
      <c r="S12" s="18"/>
      <c r="T12" s="120"/>
      <c r="U12" s="18">
        <f t="shared" si="1"/>
        <v>2</v>
      </c>
      <c r="V12" s="18">
        <f t="shared" si="2"/>
        <v>3</v>
      </c>
      <c r="W12" s="18" t="str">
        <f t="shared" si="3"/>
        <v>Internal</v>
      </c>
    </row>
    <row r="13">
      <c r="A13" s="117" t="s">
        <v>105</v>
      </c>
      <c r="B13" s="117" t="s">
        <v>90</v>
      </c>
      <c r="C13" s="117" t="s">
        <v>24</v>
      </c>
      <c r="D13" s="117" t="s">
        <v>106</v>
      </c>
      <c r="E13" s="117" t="s">
        <v>107</v>
      </c>
      <c r="F13" s="117" t="s">
        <v>108</v>
      </c>
      <c r="G13" s="117" t="s">
        <v>94</v>
      </c>
      <c r="H13" s="118">
        <v>45708.0</v>
      </c>
      <c r="I13" s="119" t="s">
        <v>109</v>
      </c>
      <c r="J13" s="117" t="s">
        <v>29</v>
      </c>
      <c r="K13" s="117" t="s">
        <v>58</v>
      </c>
      <c r="L13" s="117" t="s">
        <v>103</v>
      </c>
      <c r="M13" s="117" t="s">
        <v>44</v>
      </c>
      <c r="N13" s="117" t="s">
        <v>96</v>
      </c>
      <c r="O13" s="117" t="s">
        <v>110</v>
      </c>
      <c r="P13" s="117" t="s">
        <v>111</v>
      </c>
      <c r="Q13" s="18" t="s">
        <v>112</v>
      </c>
      <c r="R13" s="18"/>
      <c r="S13" s="18" t="s">
        <v>37</v>
      </c>
      <c r="T13" s="120">
        <v>46137.0</v>
      </c>
      <c r="U13" s="18">
        <f t="shared" si="1"/>
        <v>2</v>
      </c>
      <c r="V13" s="18">
        <f t="shared" si="2"/>
        <v>3</v>
      </c>
      <c r="W13" s="18" t="str">
        <f t="shared" si="3"/>
        <v>Internal</v>
      </c>
    </row>
    <row r="14">
      <c r="A14" s="117" t="s">
        <v>113</v>
      </c>
      <c r="B14" s="117" t="s">
        <v>114</v>
      </c>
      <c r="C14" s="117" t="s">
        <v>24</v>
      </c>
      <c r="D14" s="117" t="s">
        <v>106</v>
      </c>
      <c r="E14" s="117" t="s">
        <v>107</v>
      </c>
      <c r="F14" s="117" t="s">
        <v>115</v>
      </c>
      <c r="G14" s="117" t="s">
        <v>94</v>
      </c>
      <c r="H14" s="117">
        <v>2025.0</v>
      </c>
      <c r="I14" s="119" t="s">
        <v>116</v>
      </c>
      <c r="J14" s="117" t="s">
        <v>29</v>
      </c>
      <c r="K14" s="117" t="s">
        <v>58</v>
      </c>
      <c r="L14" s="117" t="s">
        <v>103</v>
      </c>
      <c r="M14" s="117" t="s">
        <v>96</v>
      </c>
      <c r="N14" s="117" t="s">
        <v>44</v>
      </c>
      <c r="O14" s="117" t="s">
        <v>97</v>
      </c>
      <c r="P14" s="117" t="s">
        <v>111</v>
      </c>
      <c r="Q14" s="18" t="s">
        <v>117</v>
      </c>
      <c r="R14" s="18"/>
      <c r="S14" s="18" t="s">
        <v>37</v>
      </c>
      <c r="T14" s="120">
        <v>46137.0</v>
      </c>
      <c r="U14" s="18">
        <f t="shared" si="1"/>
        <v>2</v>
      </c>
      <c r="V14" s="18">
        <f t="shared" si="2"/>
        <v>4</v>
      </c>
      <c r="W14" s="18" t="str">
        <f t="shared" si="3"/>
        <v>Internal</v>
      </c>
    </row>
    <row r="15">
      <c r="A15" s="117" t="s">
        <v>118</v>
      </c>
      <c r="B15" s="117" t="s">
        <v>114</v>
      </c>
      <c r="C15" s="117" t="s">
        <v>24</v>
      </c>
      <c r="D15" s="117" t="s">
        <v>119</v>
      </c>
      <c r="E15" s="117" t="s">
        <v>107</v>
      </c>
      <c r="F15" s="117" t="s">
        <v>120</v>
      </c>
      <c r="G15" s="117" t="s">
        <v>121</v>
      </c>
      <c r="H15" s="117"/>
      <c r="I15" s="119" t="s">
        <v>122</v>
      </c>
      <c r="J15" s="117" t="s">
        <v>29</v>
      </c>
      <c r="K15" s="117" t="s">
        <v>58</v>
      </c>
      <c r="L15" s="117" t="s">
        <v>103</v>
      </c>
      <c r="M15" s="117" t="s">
        <v>45</v>
      </c>
      <c r="N15" s="117" t="s">
        <v>44</v>
      </c>
      <c r="O15" s="117" t="s">
        <v>97</v>
      </c>
      <c r="P15" s="117" t="s">
        <v>46</v>
      </c>
      <c r="Q15" s="18" t="s">
        <v>123</v>
      </c>
      <c r="R15" s="18"/>
      <c r="S15" s="18" t="s">
        <v>37</v>
      </c>
      <c r="T15" s="120">
        <v>46137.0</v>
      </c>
      <c r="U15" s="18">
        <f t="shared" si="1"/>
        <v>2</v>
      </c>
      <c r="V15" s="18">
        <f t="shared" si="2"/>
        <v>4</v>
      </c>
      <c r="W15" s="18" t="str">
        <f t="shared" si="3"/>
        <v>Internal</v>
      </c>
    </row>
    <row r="16">
      <c r="A16" s="117" t="s">
        <v>124</v>
      </c>
      <c r="B16" s="117" t="s">
        <v>114</v>
      </c>
      <c r="C16" s="117" t="s">
        <v>24</v>
      </c>
      <c r="D16" s="117" t="s">
        <v>125</v>
      </c>
      <c r="E16" s="117" t="s">
        <v>107</v>
      </c>
      <c r="F16" s="117" t="s">
        <v>126</v>
      </c>
      <c r="G16" s="117" t="s">
        <v>94</v>
      </c>
      <c r="H16" s="117">
        <v>2026.0</v>
      </c>
      <c r="I16" s="119" t="s">
        <v>127</v>
      </c>
      <c r="J16" s="117" t="s">
        <v>57</v>
      </c>
      <c r="K16" s="117" t="s">
        <v>30</v>
      </c>
      <c r="L16" s="117" t="s">
        <v>103</v>
      </c>
      <c r="M16" s="117" t="s">
        <v>96</v>
      </c>
      <c r="N16" s="117" t="s">
        <v>44</v>
      </c>
      <c r="O16" s="117" t="s">
        <v>110</v>
      </c>
      <c r="P16" s="117" t="s">
        <v>46</v>
      </c>
      <c r="Q16" s="18" t="s">
        <v>128</v>
      </c>
      <c r="R16" s="18"/>
      <c r="S16" s="18" t="s">
        <v>37</v>
      </c>
      <c r="T16" s="120">
        <v>46143.0</v>
      </c>
      <c r="U16" s="18">
        <f t="shared" si="1"/>
        <v>1</v>
      </c>
      <c r="V16" s="18">
        <f t="shared" si="2"/>
        <v>4</v>
      </c>
      <c r="W16" s="18" t="str">
        <f t="shared" si="3"/>
        <v>Internal</v>
      </c>
    </row>
    <row r="17">
      <c r="A17" s="117" t="s">
        <v>129</v>
      </c>
      <c r="B17" s="117" t="s">
        <v>114</v>
      </c>
      <c r="C17" s="117" t="s">
        <v>24</v>
      </c>
      <c r="D17" s="117" t="s">
        <v>130</v>
      </c>
      <c r="E17" s="117" t="s">
        <v>107</v>
      </c>
      <c r="F17" s="117" t="s">
        <v>131</v>
      </c>
      <c r="G17" s="117" t="s">
        <v>132</v>
      </c>
      <c r="H17" s="117"/>
      <c r="I17" s="119" t="s">
        <v>133</v>
      </c>
      <c r="J17" s="117" t="s">
        <v>29</v>
      </c>
      <c r="K17" s="117" t="s">
        <v>58</v>
      </c>
      <c r="L17" s="117" t="s">
        <v>103</v>
      </c>
      <c r="M17" s="117" t="s">
        <v>45</v>
      </c>
      <c r="N17" s="117" t="s">
        <v>96</v>
      </c>
      <c r="O17" s="117" t="s">
        <v>97</v>
      </c>
      <c r="P17" s="117" t="s">
        <v>111</v>
      </c>
      <c r="Q17" s="18" t="s">
        <v>134</v>
      </c>
      <c r="R17" s="18"/>
      <c r="S17" s="18" t="s">
        <v>37</v>
      </c>
      <c r="T17" s="120">
        <v>46143.0</v>
      </c>
      <c r="U17" s="18">
        <f t="shared" si="1"/>
        <v>2</v>
      </c>
      <c r="V17" s="18">
        <f t="shared" si="2"/>
        <v>4</v>
      </c>
      <c r="W17" s="18" t="str">
        <f t="shared" si="3"/>
        <v>Internal</v>
      </c>
    </row>
    <row r="18">
      <c r="A18" s="117" t="s">
        <v>135</v>
      </c>
      <c r="B18" s="117" t="s">
        <v>90</v>
      </c>
      <c r="C18" s="117" t="s">
        <v>24</v>
      </c>
      <c r="D18" s="117" t="s">
        <v>136</v>
      </c>
      <c r="E18" s="117" t="s">
        <v>137</v>
      </c>
      <c r="F18" s="117" t="s">
        <v>138</v>
      </c>
      <c r="G18" s="117" t="s">
        <v>94</v>
      </c>
      <c r="H18" s="117">
        <v>2025.0</v>
      </c>
      <c r="I18" s="119" t="s">
        <v>139</v>
      </c>
      <c r="J18" s="117" t="s">
        <v>42</v>
      </c>
      <c r="K18" s="117" t="s">
        <v>30</v>
      </c>
      <c r="L18" s="117" t="s">
        <v>30</v>
      </c>
      <c r="M18" s="117" t="s">
        <v>45</v>
      </c>
      <c r="N18" s="117" t="s">
        <v>33</v>
      </c>
      <c r="O18" s="117" t="s">
        <v>34</v>
      </c>
      <c r="P18" s="117" t="s">
        <v>46</v>
      </c>
      <c r="Q18" s="18" t="s">
        <v>140</v>
      </c>
      <c r="R18" s="18"/>
      <c r="S18" s="18" t="s">
        <v>37</v>
      </c>
      <c r="T18" s="120">
        <v>46137.0</v>
      </c>
      <c r="U18" s="18">
        <f t="shared" si="1"/>
        <v>3</v>
      </c>
      <c r="V18" s="18">
        <f t="shared" si="2"/>
        <v>3</v>
      </c>
      <c r="W18" s="18" t="str">
        <f t="shared" si="3"/>
        <v>Internal</v>
      </c>
    </row>
    <row r="19">
      <c r="A19" s="117" t="s">
        <v>141</v>
      </c>
      <c r="B19" s="117" t="s">
        <v>114</v>
      </c>
      <c r="C19" s="117" t="s">
        <v>24</v>
      </c>
      <c r="D19" s="117" t="s">
        <v>142</v>
      </c>
      <c r="E19" s="117" t="s">
        <v>137</v>
      </c>
      <c r="F19" s="117" t="s">
        <v>143</v>
      </c>
      <c r="G19" s="117" t="s">
        <v>94</v>
      </c>
      <c r="H19" s="118">
        <v>45888.0</v>
      </c>
      <c r="I19" s="119" t="s">
        <v>144</v>
      </c>
      <c r="J19" s="117" t="s">
        <v>42</v>
      </c>
      <c r="K19" s="117" t="s">
        <v>82</v>
      </c>
      <c r="L19" s="117" t="s">
        <v>103</v>
      </c>
      <c r="M19" s="117" t="s">
        <v>44</v>
      </c>
      <c r="N19" s="117" t="s">
        <v>32</v>
      </c>
      <c r="O19" s="117" t="s">
        <v>97</v>
      </c>
      <c r="P19" s="117" t="s">
        <v>46</v>
      </c>
      <c r="Q19" s="18" t="s">
        <v>145</v>
      </c>
      <c r="R19" s="18"/>
      <c r="S19" s="18" t="s">
        <v>37</v>
      </c>
      <c r="T19" s="120">
        <v>46138.0</v>
      </c>
      <c r="U19" s="18">
        <f t="shared" si="1"/>
        <v>3</v>
      </c>
      <c r="V19" s="18">
        <f t="shared" si="2"/>
        <v>4</v>
      </c>
      <c r="W19" s="18" t="str">
        <f t="shared" si="3"/>
        <v>Internal</v>
      </c>
    </row>
    <row r="20">
      <c r="A20" s="117" t="s">
        <v>146</v>
      </c>
      <c r="B20" s="117" t="s">
        <v>114</v>
      </c>
      <c r="C20" s="117" t="s">
        <v>24</v>
      </c>
      <c r="D20" s="117" t="s">
        <v>147</v>
      </c>
      <c r="E20" s="117" t="s">
        <v>137</v>
      </c>
      <c r="F20" s="117" t="s">
        <v>148</v>
      </c>
      <c r="G20" s="117" t="s">
        <v>94</v>
      </c>
      <c r="H20" s="117">
        <v>2025.0</v>
      </c>
      <c r="I20" s="119" t="s">
        <v>149</v>
      </c>
      <c r="J20" s="117" t="s">
        <v>57</v>
      </c>
      <c r="K20" s="117" t="s">
        <v>82</v>
      </c>
      <c r="L20" s="117" t="s">
        <v>150</v>
      </c>
      <c r="M20" s="117" t="s">
        <v>96</v>
      </c>
      <c r="N20" s="117" t="s">
        <v>59</v>
      </c>
      <c r="O20" s="117" t="s">
        <v>97</v>
      </c>
      <c r="P20" s="117" t="s">
        <v>151</v>
      </c>
      <c r="Q20" s="18" t="s">
        <v>152</v>
      </c>
      <c r="R20" s="18"/>
      <c r="S20" s="18" t="s">
        <v>37</v>
      </c>
      <c r="T20" s="120">
        <v>46137.0</v>
      </c>
      <c r="U20" s="18">
        <f t="shared" si="1"/>
        <v>1</v>
      </c>
      <c r="V20" s="18">
        <f t="shared" si="2"/>
        <v>4</v>
      </c>
      <c r="W20" s="18" t="str">
        <f t="shared" si="3"/>
        <v>Internal</v>
      </c>
    </row>
    <row r="21">
      <c r="A21" s="117" t="s">
        <v>153</v>
      </c>
      <c r="B21" s="117" t="s">
        <v>90</v>
      </c>
      <c r="C21" s="117" t="s">
        <v>24</v>
      </c>
      <c r="D21" s="117" t="s">
        <v>154</v>
      </c>
      <c r="E21" s="117" t="s">
        <v>137</v>
      </c>
      <c r="F21" s="117" t="s">
        <v>155</v>
      </c>
      <c r="G21" s="117" t="s">
        <v>94</v>
      </c>
      <c r="H21" s="117">
        <v>2025.0</v>
      </c>
      <c r="I21" s="119" t="s">
        <v>156</v>
      </c>
      <c r="J21" s="117" t="s">
        <v>29</v>
      </c>
      <c r="K21" s="117" t="s">
        <v>82</v>
      </c>
      <c r="L21" s="117" t="s">
        <v>103</v>
      </c>
      <c r="M21" s="117" t="s">
        <v>45</v>
      </c>
      <c r="N21" s="117" t="s">
        <v>44</v>
      </c>
      <c r="O21" s="117" t="s">
        <v>97</v>
      </c>
      <c r="P21" s="117" t="s">
        <v>46</v>
      </c>
      <c r="Q21" s="18" t="s">
        <v>157</v>
      </c>
      <c r="R21" s="18"/>
      <c r="S21" s="18" t="s">
        <v>37</v>
      </c>
      <c r="T21" s="120">
        <v>46137.0</v>
      </c>
      <c r="U21" s="18">
        <f t="shared" si="1"/>
        <v>2</v>
      </c>
      <c r="V21" s="18">
        <f t="shared" si="2"/>
        <v>3</v>
      </c>
      <c r="W21" s="18" t="str">
        <f t="shared" si="3"/>
        <v>Internal</v>
      </c>
    </row>
    <row r="22">
      <c r="A22" s="117" t="s">
        <v>158</v>
      </c>
      <c r="B22" s="117" t="s">
        <v>114</v>
      </c>
      <c r="C22" s="117" t="s">
        <v>24</v>
      </c>
      <c r="D22" s="117" t="s">
        <v>159</v>
      </c>
      <c r="E22" s="117" t="s">
        <v>137</v>
      </c>
      <c r="F22" s="117" t="s">
        <v>160</v>
      </c>
      <c r="G22" s="117" t="s">
        <v>94</v>
      </c>
      <c r="H22" s="117"/>
      <c r="I22" s="119" t="s">
        <v>161</v>
      </c>
      <c r="J22" s="117" t="s">
        <v>57</v>
      </c>
      <c r="K22" s="117" t="s">
        <v>82</v>
      </c>
      <c r="L22" s="117" t="s">
        <v>103</v>
      </c>
      <c r="M22" s="117" t="s">
        <v>96</v>
      </c>
      <c r="N22" s="117" t="s">
        <v>33</v>
      </c>
      <c r="O22" s="117" t="s">
        <v>110</v>
      </c>
      <c r="P22" s="117" t="s">
        <v>46</v>
      </c>
      <c r="Q22" s="18" t="s">
        <v>162</v>
      </c>
      <c r="R22" s="18"/>
      <c r="S22" s="18" t="s">
        <v>37</v>
      </c>
      <c r="T22" s="120">
        <v>46143.0</v>
      </c>
      <c r="U22" s="18">
        <f t="shared" si="1"/>
        <v>1</v>
      </c>
      <c r="V22" s="18">
        <f t="shared" si="2"/>
        <v>4</v>
      </c>
      <c r="W22" s="18" t="str">
        <f t="shared" si="3"/>
        <v>Internal</v>
      </c>
    </row>
    <row r="23">
      <c r="A23" s="117" t="s">
        <v>163</v>
      </c>
      <c r="B23" s="117" t="s">
        <v>114</v>
      </c>
      <c r="C23" s="117" t="s">
        <v>24</v>
      </c>
      <c r="D23" s="117" t="s">
        <v>164</v>
      </c>
      <c r="E23" s="117" t="s">
        <v>137</v>
      </c>
      <c r="F23" s="117" t="s">
        <v>165</v>
      </c>
      <c r="G23" s="117" t="s">
        <v>132</v>
      </c>
      <c r="H23" s="121">
        <v>45717.0</v>
      </c>
      <c r="I23" s="119" t="s">
        <v>166</v>
      </c>
      <c r="J23" s="117" t="s">
        <v>29</v>
      </c>
      <c r="K23" s="117" t="s">
        <v>58</v>
      </c>
      <c r="L23" s="117" t="s">
        <v>103</v>
      </c>
      <c r="M23" s="117" t="s">
        <v>44</v>
      </c>
      <c r="N23" s="117" t="s">
        <v>45</v>
      </c>
      <c r="O23" s="117" t="s">
        <v>34</v>
      </c>
      <c r="P23" s="117" t="s">
        <v>111</v>
      </c>
      <c r="Q23" s="18" t="s">
        <v>167</v>
      </c>
      <c r="R23" s="18"/>
      <c r="S23" s="18"/>
      <c r="T23" s="120"/>
      <c r="U23" s="18">
        <f t="shared" si="1"/>
        <v>2</v>
      </c>
      <c r="V23" s="18">
        <f t="shared" si="2"/>
        <v>4</v>
      </c>
      <c r="W23" s="18" t="str">
        <f t="shared" si="3"/>
        <v>Internal</v>
      </c>
    </row>
    <row r="24">
      <c r="A24" s="117" t="s">
        <v>168</v>
      </c>
      <c r="B24" s="117" t="s">
        <v>114</v>
      </c>
      <c r="C24" s="117" t="s">
        <v>24</v>
      </c>
      <c r="D24" s="117" t="s">
        <v>169</v>
      </c>
      <c r="E24" s="117" t="s">
        <v>92</v>
      </c>
      <c r="F24" s="117" t="s">
        <v>170</v>
      </c>
      <c r="G24" s="117" t="s">
        <v>132</v>
      </c>
      <c r="H24" s="117">
        <v>2025.0</v>
      </c>
      <c r="I24" s="119" t="s">
        <v>171</v>
      </c>
      <c r="J24" s="117" t="s">
        <v>29</v>
      </c>
      <c r="K24" s="117" t="s">
        <v>102</v>
      </c>
      <c r="L24" s="117" t="s">
        <v>103</v>
      </c>
      <c r="M24" s="117" t="s">
        <v>44</v>
      </c>
      <c r="N24" s="117" t="s">
        <v>96</v>
      </c>
      <c r="O24" s="117" t="s">
        <v>97</v>
      </c>
      <c r="P24" s="117" t="s">
        <v>46</v>
      </c>
      <c r="Q24" s="18" t="s">
        <v>172</v>
      </c>
      <c r="R24" s="18"/>
      <c r="S24" s="18" t="s">
        <v>37</v>
      </c>
      <c r="T24" s="120">
        <v>46137.0</v>
      </c>
      <c r="U24" s="18">
        <f t="shared" si="1"/>
        <v>2</v>
      </c>
      <c r="V24" s="18">
        <f t="shared" si="2"/>
        <v>4</v>
      </c>
      <c r="W24" s="18" t="str">
        <f t="shared" si="3"/>
        <v>Internal</v>
      </c>
    </row>
    <row r="25">
      <c r="A25" s="117" t="s">
        <v>173</v>
      </c>
      <c r="B25" s="117" t="s">
        <v>174</v>
      </c>
      <c r="C25" s="117" t="s">
        <v>24</v>
      </c>
      <c r="D25" s="117" t="s">
        <v>175</v>
      </c>
      <c r="E25" s="117" t="s">
        <v>92</v>
      </c>
      <c r="F25" s="117" t="s">
        <v>176</v>
      </c>
      <c r="G25" s="117" t="s">
        <v>177</v>
      </c>
      <c r="H25" s="117" t="s">
        <v>178</v>
      </c>
      <c r="I25" s="122" t="s">
        <v>179</v>
      </c>
      <c r="J25" s="117" t="s">
        <v>180</v>
      </c>
      <c r="K25" s="117" t="s">
        <v>30</v>
      </c>
      <c r="L25" s="117" t="s">
        <v>103</v>
      </c>
      <c r="M25" s="117" t="s">
        <v>96</v>
      </c>
      <c r="N25" s="117" t="s">
        <v>44</v>
      </c>
      <c r="O25" s="117" t="s">
        <v>110</v>
      </c>
      <c r="P25" s="117" t="s">
        <v>151</v>
      </c>
      <c r="Q25" s="18" t="s">
        <v>181</v>
      </c>
      <c r="R25" s="18"/>
      <c r="S25" s="18" t="s">
        <v>37</v>
      </c>
      <c r="T25" s="120">
        <v>46137.0</v>
      </c>
      <c r="U25" s="18">
        <f t="shared" si="1"/>
        <v>0</v>
      </c>
      <c r="V25" s="18">
        <f t="shared" si="2"/>
        <v>5</v>
      </c>
      <c r="W25" s="18" t="str">
        <f t="shared" si="3"/>
        <v>Internal</v>
      </c>
    </row>
    <row r="26">
      <c r="A26" s="117" t="s">
        <v>183</v>
      </c>
      <c r="B26" s="117" t="s">
        <v>174</v>
      </c>
      <c r="C26" s="117" t="s">
        <v>24</v>
      </c>
      <c r="D26" s="117" t="s">
        <v>184</v>
      </c>
      <c r="E26" s="117" t="s">
        <v>92</v>
      </c>
      <c r="F26" s="117" t="s">
        <v>185</v>
      </c>
      <c r="G26" s="117" t="s">
        <v>177</v>
      </c>
      <c r="H26" s="117" t="s">
        <v>178</v>
      </c>
      <c r="I26" s="122" t="s">
        <v>186</v>
      </c>
      <c r="J26" s="117" t="s">
        <v>180</v>
      </c>
      <c r="K26" s="117" t="s">
        <v>30</v>
      </c>
      <c r="L26" s="117" t="s">
        <v>103</v>
      </c>
      <c r="M26" s="117" t="s">
        <v>44</v>
      </c>
      <c r="N26" s="117" t="s">
        <v>96</v>
      </c>
      <c r="O26" s="117" t="s">
        <v>110</v>
      </c>
      <c r="P26" s="117" t="s">
        <v>151</v>
      </c>
      <c r="Q26" s="18" t="s">
        <v>187</v>
      </c>
      <c r="R26" s="18"/>
      <c r="S26" s="18" t="s">
        <v>37</v>
      </c>
      <c r="T26" s="120">
        <v>46137.0</v>
      </c>
      <c r="U26" s="18">
        <f t="shared" si="1"/>
        <v>0</v>
      </c>
      <c r="V26" s="18">
        <f t="shared" si="2"/>
        <v>5</v>
      </c>
      <c r="W26" s="18" t="str">
        <f t="shared" si="3"/>
        <v>Internal</v>
      </c>
    </row>
    <row r="27">
      <c r="A27" s="117" t="s">
        <v>188</v>
      </c>
      <c r="B27" s="117" t="s">
        <v>174</v>
      </c>
      <c r="C27" s="117" t="s">
        <v>24</v>
      </c>
      <c r="D27" s="117" t="s">
        <v>189</v>
      </c>
      <c r="E27" s="117" t="s">
        <v>92</v>
      </c>
      <c r="F27" s="117" t="s">
        <v>190</v>
      </c>
      <c r="G27" s="117" t="s">
        <v>177</v>
      </c>
      <c r="H27" s="117" t="s">
        <v>178</v>
      </c>
      <c r="I27" s="122" t="s">
        <v>191</v>
      </c>
      <c r="J27" s="117" t="s">
        <v>42</v>
      </c>
      <c r="K27" s="117" t="s">
        <v>30</v>
      </c>
      <c r="L27" s="117" t="s">
        <v>103</v>
      </c>
      <c r="M27" s="117" t="s">
        <v>33</v>
      </c>
      <c r="N27" s="117" t="s">
        <v>45</v>
      </c>
      <c r="O27" s="117" t="s">
        <v>97</v>
      </c>
      <c r="P27" s="117" t="s">
        <v>151</v>
      </c>
      <c r="Q27" s="18" t="s">
        <v>192</v>
      </c>
      <c r="R27" s="18"/>
      <c r="S27" s="18" t="s">
        <v>37</v>
      </c>
      <c r="T27" s="120">
        <v>46137.0</v>
      </c>
      <c r="U27" s="18">
        <f t="shared" si="1"/>
        <v>3</v>
      </c>
      <c r="V27" s="18">
        <f t="shared" si="2"/>
        <v>5</v>
      </c>
      <c r="W27" s="18" t="str">
        <f t="shared" si="3"/>
        <v>Internal</v>
      </c>
    </row>
    <row r="28">
      <c r="A28" s="117" t="s">
        <v>193</v>
      </c>
      <c r="B28" s="117" t="s">
        <v>174</v>
      </c>
      <c r="C28" s="117" t="s">
        <v>24</v>
      </c>
      <c r="D28" s="117" t="s">
        <v>194</v>
      </c>
      <c r="E28" s="117" t="s">
        <v>92</v>
      </c>
      <c r="F28" s="117" t="s">
        <v>195</v>
      </c>
      <c r="G28" s="117" t="s">
        <v>177</v>
      </c>
      <c r="H28" s="117" t="s">
        <v>196</v>
      </c>
      <c r="I28" s="122" t="s">
        <v>197</v>
      </c>
      <c r="J28" s="117" t="s">
        <v>42</v>
      </c>
      <c r="K28" s="117" t="s">
        <v>82</v>
      </c>
      <c r="L28" s="117" t="s">
        <v>103</v>
      </c>
      <c r="M28" s="117" t="s">
        <v>33</v>
      </c>
      <c r="N28" s="117" t="s">
        <v>45</v>
      </c>
      <c r="O28" s="117" t="s">
        <v>97</v>
      </c>
      <c r="P28" s="117" t="s">
        <v>151</v>
      </c>
      <c r="Q28" s="18" t="s">
        <v>198</v>
      </c>
      <c r="R28" s="18"/>
      <c r="S28" s="18" t="s">
        <v>37</v>
      </c>
      <c r="T28" s="120">
        <v>46137.0</v>
      </c>
      <c r="U28" s="18">
        <f t="shared" si="1"/>
        <v>3</v>
      </c>
      <c r="V28" s="18">
        <f t="shared" si="2"/>
        <v>5</v>
      </c>
      <c r="W28" s="18" t="str">
        <f t="shared" si="3"/>
        <v>Internal</v>
      </c>
    </row>
    <row r="29">
      <c r="A29" s="117" t="s">
        <v>199</v>
      </c>
      <c r="B29" s="117" t="s">
        <v>174</v>
      </c>
      <c r="C29" s="117" t="s">
        <v>24</v>
      </c>
      <c r="D29" s="117" t="s">
        <v>200</v>
      </c>
      <c r="E29" s="117" t="s">
        <v>92</v>
      </c>
      <c r="F29" s="117" t="s">
        <v>201</v>
      </c>
      <c r="G29" s="117" t="s">
        <v>177</v>
      </c>
      <c r="H29" s="117" t="s">
        <v>178</v>
      </c>
      <c r="I29" s="122" t="s">
        <v>202</v>
      </c>
      <c r="J29" s="117" t="s">
        <v>29</v>
      </c>
      <c r="K29" s="117" t="s">
        <v>102</v>
      </c>
      <c r="L29" s="117" t="s">
        <v>103</v>
      </c>
      <c r="M29" s="117" t="s">
        <v>96</v>
      </c>
      <c r="N29" s="117" t="s">
        <v>44</v>
      </c>
      <c r="O29" s="117" t="s">
        <v>97</v>
      </c>
      <c r="P29" s="117" t="s">
        <v>151</v>
      </c>
      <c r="Q29" s="18" t="s">
        <v>203</v>
      </c>
      <c r="R29" s="18"/>
      <c r="S29" s="18"/>
      <c r="T29" s="120"/>
      <c r="U29" s="18">
        <f t="shared" si="1"/>
        <v>2</v>
      </c>
      <c r="V29" s="18">
        <f t="shared" si="2"/>
        <v>5</v>
      </c>
      <c r="W29" s="18" t="str">
        <f t="shared" si="3"/>
        <v>Internal</v>
      </c>
    </row>
    <row r="30">
      <c r="A30" s="117" t="s">
        <v>204</v>
      </c>
      <c r="B30" s="117" t="s">
        <v>174</v>
      </c>
      <c r="C30" s="117" t="s">
        <v>24</v>
      </c>
      <c r="D30" s="117" t="s">
        <v>205</v>
      </c>
      <c r="E30" s="117" t="s">
        <v>92</v>
      </c>
      <c r="F30" s="117" t="s">
        <v>206</v>
      </c>
      <c r="G30" s="117" t="s">
        <v>177</v>
      </c>
      <c r="H30" s="117" t="s">
        <v>178</v>
      </c>
      <c r="I30" s="122" t="s">
        <v>207</v>
      </c>
      <c r="J30" s="117" t="s">
        <v>29</v>
      </c>
      <c r="K30" s="117" t="s">
        <v>82</v>
      </c>
      <c r="L30" s="117" t="s">
        <v>103</v>
      </c>
      <c r="M30" s="117" t="s">
        <v>45</v>
      </c>
      <c r="N30" s="117" t="s">
        <v>96</v>
      </c>
      <c r="O30" s="117" t="s">
        <v>97</v>
      </c>
      <c r="P30" s="117" t="s">
        <v>151</v>
      </c>
      <c r="Q30" s="18" t="s">
        <v>208</v>
      </c>
      <c r="R30" s="18"/>
      <c r="S30" s="18"/>
      <c r="T30" s="120"/>
      <c r="U30" s="18">
        <f t="shared" si="1"/>
        <v>2</v>
      </c>
      <c r="V30" s="18">
        <f t="shared" si="2"/>
        <v>5</v>
      </c>
      <c r="W30" s="18" t="str">
        <f t="shared" si="3"/>
        <v>Internal</v>
      </c>
    </row>
    <row r="31">
      <c r="A31" s="117" t="s">
        <v>209</v>
      </c>
      <c r="B31" s="117" t="s">
        <v>174</v>
      </c>
      <c r="C31" s="117" t="s">
        <v>24</v>
      </c>
      <c r="D31" s="117" t="s">
        <v>210</v>
      </c>
      <c r="E31" s="117" t="s">
        <v>107</v>
      </c>
      <c r="F31" s="117" t="s">
        <v>211</v>
      </c>
      <c r="G31" s="117" t="s">
        <v>177</v>
      </c>
      <c r="H31" s="117" t="s">
        <v>178</v>
      </c>
      <c r="I31" s="122" t="s">
        <v>212</v>
      </c>
      <c r="J31" s="117" t="s">
        <v>29</v>
      </c>
      <c r="K31" s="117" t="s">
        <v>82</v>
      </c>
      <c r="L31" s="117" t="s">
        <v>103</v>
      </c>
      <c r="M31" s="117" t="s">
        <v>33</v>
      </c>
      <c r="N31" s="117" t="s">
        <v>44</v>
      </c>
      <c r="O31" s="117" t="s">
        <v>97</v>
      </c>
      <c r="P31" s="117" t="s">
        <v>151</v>
      </c>
      <c r="Q31" s="18" t="s">
        <v>213</v>
      </c>
      <c r="R31" s="18"/>
      <c r="S31" s="18" t="s">
        <v>37</v>
      </c>
      <c r="T31" s="120">
        <v>46137.0</v>
      </c>
      <c r="U31" s="18">
        <f t="shared" si="1"/>
        <v>2</v>
      </c>
      <c r="V31" s="18">
        <f t="shared" si="2"/>
        <v>5</v>
      </c>
      <c r="W31" s="18" t="str">
        <f t="shared" si="3"/>
        <v>Internal</v>
      </c>
    </row>
    <row r="32">
      <c r="A32" s="117" t="s">
        <v>214</v>
      </c>
      <c r="B32" s="117" t="s">
        <v>174</v>
      </c>
      <c r="C32" s="117" t="s">
        <v>24</v>
      </c>
      <c r="D32" s="117" t="s">
        <v>215</v>
      </c>
      <c r="E32" s="117" t="s">
        <v>107</v>
      </c>
      <c r="F32" s="117" t="s">
        <v>216</v>
      </c>
      <c r="G32" s="117" t="s">
        <v>177</v>
      </c>
      <c r="H32" s="117" t="s">
        <v>178</v>
      </c>
      <c r="I32" s="122" t="s">
        <v>217</v>
      </c>
      <c r="J32" s="117" t="s">
        <v>180</v>
      </c>
      <c r="K32" s="117" t="s">
        <v>82</v>
      </c>
      <c r="L32" s="117" t="s">
        <v>103</v>
      </c>
      <c r="M32" s="117" t="s">
        <v>44</v>
      </c>
      <c r="N32" s="117" t="s">
        <v>96</v>
      </c>
      <c r="O32" s="117" t="s">
        <v>110</v>
      </c>
      <c r="P32" s="117" t="s">
        <v>151</v>
      </c>
      <c r="Q32" s="18" t="s">
        <v>218</v>
      </c>
      <c r="R32" s="18"/>
      <c r="S32" s="18" t="s">
        <v>37</v>
      </c>
      <c r="T32" s="120">
        <v>46137.0</v>
      </c>
      <c r="U32" s="18">
        <f t="shared" si="1"/>
        <v>0</v>
      </c>
      <c r="V32" s="18">
        <f t="shared" si="2"/>
        <v>5</v>
      </c>
      <c r="W32" s="18" t="str">
        <f t="shared" si="3"/>
        <v>Internal</v>
      </c>
    </row>
    <row r="33">
      <c r="A33" s="117" t="s">
        <v>220</v>
      </c>
      <c r="B33" s="117" t="s">
        <v>174</v>
      </c>
      <c r="C33" s="117" t="s">
        <v>24</v>
      </c>
      <c r="D33" s="117" t="s">
        <v>221</v>
      </c>
      <c r="E33" s="117" t="s">
        <v>107</v>
      </c>
      <c r="F33" s="117" t="s">
        <v>222</v>
      </c>
      <c r="G33" s="117" t="s">
        <v>177</v>
      </c>
      <c r="H33" s="117" t="s">
        <v>223</v>
      </c>
      <c r="I33" s="122" t="s">
        <v>224</v>
      </c>
      <c r="J33" s="117" t="s">
        <v>42</v>
      </c>
      <c r="K33" s="117" t="s">
        <v>82</v>
      </c>
      <c r="L33" s="117" t="s">
        <v>103</v>
      </c>
      <c r="M33" s="117" t="s">
        <v>96</v>
      </c>
      <c r="N33" s="117" t="s">
        <v>44</v>
      </c>
      <c r="O33" s="117" t="s">
        <v>97</v>
      </c>
      <c r="P33" s="117" t="s">
        <v>151</v>
      </c>
      <c r="Q33" s="18" t="s">
        <v>225</v>
      </c>
      <c r="R33" s="18"/>
      <c r="S33" s="18" t="s">
        <v>37</v>
      </c>
      <c r="T33" s="120">
        <v>46137.0</v>
      </c>
      <c r="U33" s="18">
        <f t="shared" si="1"/>
        <v>3</v>
      </c>
      <c r="V33" s="18">
        <f t="shared" si="2"/>
        <v>5</v>
      </c>
      <c r="W33" s="18" t="str">
        <f t="shared" si="3"/>
        <v>Internal</v>
      </c>
    </row>
    <row r="34">
      <c r="A34" s="117" t="s">
        <v>226</v>
      </c>
      <c r="B34" s="117" t="s">
        <v>174</v>
      </c>
      <c r="C34" s="117" t="s">
        <v>24</v>
      </c>
      <c r="D34" s="117" t="s">
        <v>227</v>
      </c>
      <c r="E34" s="117" t="s">
        <v>107</v>
      </c>
      <c r="F34" s="117" t="s">
        <v>228</v>
      </c>
      <c r="G34" s="117" t="s">
        <v>177</v>
      </c>
      <c r="H34" s="117" t="s">
        <v>223</v>
      </c>
      <c r="I34" s="122" t="s">
        <v>229</v>
      </c>
      <c r="J34" s="117" t="s">
        <v>57</v>
      </c>
      <c r="K34" s="117" t="s">
        <v>30</v>
      </c>
      <c r="L34" s="117" t="s">
        <v>103</v>
      </c>
      <c r="M34" s="117" t="s">
        <v>44</v>
      </c>
      <c r="N34" s="117" t="s">
        <v>96</v>
      </c>
      <c r="O34" s="117" t="s">
        <v>34</v>
      </c>
      <c r="P34" s="117" t="s">
        <v>151</v>
      </c>
      <c r="Q34" s="18" t="s">
        <v>230</v>
      </c>
      <c r="R34" s="18"/>
      <c r="S34" s="18" t="s">
        <v>37</v>
      </c>
      <c r="T34" s="120">
        <v>46137.0</v>
      </c>
      <c r="U34" s="18">
        <f t="shared" si="1"/>
        <v>1</v>
      </c>
      <c r="V34" s="18">
        <f t="shared" si="2"/>
        <v>5</v>
      </c>
      <c r="W34" s="18" t="str">
        <f t="shared" si="3"/>
        <v>Internal</v>
      </c>
    </row>
    <row r="35">
      <c r="A35" s="117" t="s">
        <v>231</v>
      </c>
      <c r="B35" s="117" t="s">
        <v>174</v>
      </c>
      <c r="C35" s="117" t="s">
        <v>24</v>
      </c>
      <c r="D35" s="117" t="s">
        <v>232</v>
      </c>
      <c r="E35" s="117" t="s">
        <v>107</v>
      </c>
      <c r="F35" s="117" t="s">
        <v>233</v>
      </c>
      <c r="G35" s="117" t="s">
        <v>177</v>
      </c>
      <c r="H35" s="117" t="s">
        <v>223</v>
      </c>
      <c r="I35" s="122" t="s">
        <v>234</v>
      </c>
      <c r="J35" s="117" t="s">
        <v>57</v>
      </c>
      <c r="K35" s="117" t="s">
        <v>30</v>
      </c>
      <c r="L35" s="117" t="s">
        <v>103</v>
      </c>
      <c r="M35" s="117" t="s">
        <v>44</v>
      </c>
      <c r="N35" s="117" t="s">
        <v>96</v>
      </c>
      <c r="O35" s="117" t="s">
        <v>34</v>
      </c>
      <c r="P35" s="117" t="s">
        <v>151</v>
      </c>
      <c r="Q35" s="18" t="s">
        <v>235</v>
      </c>
      <c r="R35" s="18"/>
      <c r="S35" s="18"/>
      <c r="T35" s="120"/>
      <c r="U35" s="18">
        <f t="shared" si="1"/>
        <v>1</v>
      </c>
      <c r="V35" s="18">
        <f t="shared" si="2"/>
        <v>5</v>
      </c>
      <c r="W35" s="18" t="str">
        <f t="shared" si="3"/>
        <v>Internal</v>
      </c>
    </row>
    <row r="36">
      <c r="A36" s="117" t="s">
        <v>236</v>
      </c>
      <c r="B36" s="117" t="s">
        <v>174</v>
      </c>
      <c r="C36" s="117" t="s">
        <v>24</v>
      </c>
      <c r="D36" s="117" t="s">
        <v>237</v>
      </c>
      <c r="E36" s="117" t="s">
        <v>107</v>
      </c>
      <c r="F36" s="117" t="s">
        <v>238</v>
      </c>
      <c r="G36" s="117" t="s">
        <v>177</v>
      </c>
      <c r="H36" s="117" t="s">
        <v>239</v>
      </c>
      <c r="I36" s="122" t="s">
        <v>240</v>
      </c>
      <c r="J36" s="117" t="s">
        <v>29</v>
      </c>
      <c r="K36" s="117" t="s">
        <v>82</v>
      </c>
      <c r="L36" s="117" t="s">
        <v>103</v>
      </c>
      <c r="M36" s="117" t="s">
        <v>96</v>
      </c>
      <c r="N36" s="117" t="s">
        <v>44</v>
      </c>
      <c r="O36" s="117" t="s">
        <v>110</v>
      </c>
      <c r="P36" s="117" t="s">
        <v>151</v>
      </c>
      <c r="Q36" s="18" t="s">
        <v>241</v>
      </c>
      <c r="R36" s="18"/>
      <c r="S36" s="18"/>
      <c r="T36" s="120"/>
      <c r="U36" s="18">
        <f t="shared" si="1"/>
        <v>2</v>
      </c>
      <c r="V36" s="18">
        <f t="shared" si="2"/>
        <v>5</v>
      </c>
      <c r="W36" s="18" t="str">
        <f t="shared" si="3"/>
        <v>Internal</v>
      </c>
    </row>
    <row r="37">
      <c r="A37" s="117" t="s">
        <v>242</v>
      </c>
      <c r="B37" s="117" t="s">
        <v>174</v>
      </c>
      <c r="C37" s="117" t="s">
        <v>24</v>
      </c>
      <c r="D37" s="117" t="s">
        <v>243</v>
      </c>
      <c r="E37" s="117" t="s">
        <v>137</v>
      </c>
      <c r="F37" s="117" t="s">
        <v>244</v>
      </c>
      <c r="G37" s="117" t="s">
        <v>177</v>
      </c>
      <c r="H37" s="117">
        <v>2025.0</v>
      </c>
      <c r="I37" s="122" t="s">
        <v>245</v>
      </c>
      <c r="J37" s="117" t="s">
        <v>29</v>
      </c>
      <c r="K37" s="117" t="s">
        <v>82</v>
      </c>
      <c r="L37" s="117" t="s">
        <v>103</v>
      </c>
      <c r="M37" s="117" t="s">
        <v>44</v>
      </c>
      <c r="N37" s="117" t="s">
        <v>96</v>
      </c>
      <c r="O37" s="117" t="s">
        <v>97</v>
      </c>
      <c r="P37" s="117" t="s">
        <v>151</v>
      </c>
      <c r="Q37" s="18" t="s">
        <v>246</v>
      </c>
      <c r="R37" s="18"/>
      <c r="S37" s="18" t="s">
        <v>37</v>
      </c>
      <c r="T37" s="120">
        <v>46137.0</v>
      </c>
      <c r="U37" s="18">
        <f t="shared" si="1"/>
        <v>2</v>
      </c>
      <c r="V37" s="18">
        <f t="shared" si="2"/>
        <v>5</v>
      </c>
      <c r="W37" s="18" t="str">
        <f t="shared" si="3"/>
        <v>Internal</v>
      </c>
    </row>
    <row r="38">
      <c r="A38" s="117" t="s">
        <v>247</v>
      </c>
      <c r="B38" s="117" t="s">
        <v>174</v>
      </c>
      <c r="C38" s="117" t="s">
        <v>24</v>
      </c>
      <c r="D38" s="117" t="s">
        <v>248</v>
      </c>
      <c r="E38" s="117" t="s">
        <v>137</v>
      </c>
      <c r="F38" s="117" t="s">
        <v>249</v>
      </c>
      <c r="G38" s="117" t="s">
        <v>177</v>
      </c>
      <c r="H38" s="117" t="s">
        <v>178</v>
      </c>
      <c r="I38" s="122" t="s">
        <v>250</v>
      </c>
      <c r="J38" s="117" t="s">
        <v>29</v>
      </c>
      <c r="K38" s="117" t="s">
        <v>82</v>
      </c>
      <c r="L38" s="117" t="s">
        <v>103</v>
      </c>
      <c r="M38" s="117" t="s">
        <v>44</v>
      </c>
      <c r="N38" s="117" t="s">
        <v>96</v>
      </c>
      <c r="O38" s="117" t="s">
        <v>97</v>
      </c>
      <c r="P38" s="117" t="s">
        <v>151</v>
      </c>
      <c r="Q38" s="18" t="s">
        <v>251</v>
      </c>
      <c r="R38" s="18"/>
      <c r="S38" s="18" t="s">
        <v>37</v>
      </c>
      <c r="T38" s="120">
        <v>46137.0</v>
      </c>
      <c r="U38" s="18">
        <f t="shared" si="1"/>
        <v>2</v>
      </c>
      <c r="V38" s="18">
        <f t="shared" si="2"/>
        <v>5</v>
      </c>
      <c r="W38" s="18" t="str">
        <f t="shared" si="3"/>
        <v>Internal</v>
      </c>
    </row>
    <row r="39">
      <c r="A39" s="117" t="s">
        <v>252</v>
      </c>
      <c r="B39" s="117" t="s">
        <v>174</v>
      </c>
      <c r="C39" s="117" t="s">
        <v>24</v>
      </c>
      <c r="D39" s="117" t="s">
        <v>253</v>
      </c>
      <c r="E39" s="117" t="s">
        <v>137</v>
      </c>
      <c r="F39" s="117" t="s">
        <v>254</v>
      </c>
      <c r="G39" s="117" t="s">
        <v>177</v>
      </c>
      <c r="H39" s="117">
        <v>2025.0</v>
      </c>
      <c r="I39" s="122" t="s">
        <v>255</v>
      </c>
      <c r="J39" s="117" t="s">
        <v>29</v>
      </c>
      <c r="K39" s="117" t="s">
        <v>82</v>
      </c>
      <c r="L39" s="117" t="s">
        <v>103</v>
      </c>
      <c r="M39" s="117" t="s">
        <v>44</v>
      </c>
      <c r="N39" s="117" t="s">
        <v>96</v>
      </c>
      <c r="O39" s="117" t="s">
        <v>97</v>
      </c>
      <c r="P39" s="117" t="s">
        <v>151</v>
      </c>
      <c r="Q39" s="18" t="s">
        <v>256</v>
      </c>
      <c r="R39" s="18"/>
      <c r="S39" s="18" t="s">
        <v>37</v>
      </c>
      <c r="T39" s="120">
        <v>46137.0</v>
      </c>
      <c r="U39" s="18">
        <f t="shared" si="1"/>
        <v>2</v>
      </c>
      <c r="V39" s="18">
        <f t="shared" si="2"/>
        <v>5</v>
      </c>
      <c r="W39" s="18" t="str">
        <f t="shared" si="3"/>
        <v>Internal</v>
      </c>
    </row>
    <row r="40">
      <c r="A40" s="117" t="s">
        <v>257</v>
      </c>
      <c r="B40" s="117" t="s">
        <v>174</v>
      </c>
      <c r="C40" s="117" t="s">
        <v>24</v>
      </c>
      <c r="D40" s="117" t="s">
        <v>258</v>
      </c>
      <c r="E40" s="117" t="s">
        <v>137</v>
      </c>
      <c r="F40" s="117" t="s">
        <v>259</v>
      </c>
      <c r="G40" s="117" t="s">
        <v>177</v>
      </c>
      <c r="H40" s="117" t="s">
        <v>223</v>
      </c>
      <c r="I40" s="122" t="s">
        <v>260</v>
      </c>
      <c r="J40" s="117" t="s">
        <v>42</v>
      </c>
      <c r="K40" s="117" t="s">
        <v>82</v>
      </c>
      <c r="L40" s="117" t="s">
        <v>43</v>
      </c>
      <c r="M40" s="117" t="s">
        <v>96</v>
      </c>
      <c r="N40" s="117" t="s">
        <v>33</v>
      </c>
      <c r="O40" s="117" t="s">
        <v>97</v>
      </c>
      <c r="P40" s="117" t="s">
        <v>151</v>
      </c>
      <c r="Q40" s="18" t="s">
        <v>261</v>
      </c>
      <c r="R40" s="18"/>
      <c r="S40" s="18" t="s">
        <v>37</v>
      </c>
      <c r="T40" s="120">
        <v>46137.0</v>
      </c>
      <c r="U40" s="18">
        <f t="shared" si="1"/>
        <v>3</v>
      </c>
      <c r="V40" s="18">
        <f t="shared" si="2"/>
        <v>5</v>
      </c>
      <c r="W40" s="18" t="str">
        <f t="shared" si="3"/>
        <v>Internal</v>
      </c>
    </row>
    <row r="41">
      <c r="A41" s="117" t="s">
        <v>262</v>
      </c>
      <c r="B41" s="117" t="s">
        <v>174</v>
      </c>
      <c r="C41" s="117" t="s">
        <v>24</v>
      </c>
      <c r="D41" s="117" t="s">
        <v>263</v>
      </c>
      <c r="E41" s="117" t="s">
        <v>137</v>
      </c>
      <c r="F41" s="117" t="s">
        <v>264</v>
      </c>
      <c r="G41" s="117" t="s">
        <v>177</v>
      </c>
      <c r="H41" s="117" t="s">
        <v>223</v>
      </c>
      <c r="I41" s="122" t="s">
        <v>265</v>
      </c>
      <c r="J41" s="117" t="s">
        <v>57</v>
      </c>
      <c r="K41" s="117" t="s">
        <v>82</v>
      </c>
      <c r="L41" s="117" t="s">
        <v>103</v>
      </c>
      <c r="M41" s="117" t="s">
        <v>96</v>
      </c>
      <c r="N41" s="117" t="s">
        <v>44</v>
      </c>
      <c r="O41" s="117" t="s">
        <v>110</v>
      </c>
      <c r="P41" s="117" t="s">
        <v>151</v>
      </c>
      <c r="Q41" s="18" t="s">
        <v>266</v>
      </c>
      <c r="R41" s="18"/>
      <c r="S41" s="18"/>
      <c r="T41" s="18"/>
      <c r="U41" s="18">
        <f t="shared" si="1"/>
        <v>1</v>
      </c>
      <c r="V41" s="18">
        <f t="shared" si="2"/>
        <v>5</v>
      </c>
      <c r="W41" s="18" t="str">
        <f t="shared" si="3"/>
        <v>Internal</v>
      </c>
    </row>
    <row r="42">
      <c r="A42" s="123" t="s">
        <v>471</v>
      </c>
      <c r="B42" s="123" t="s">
        <v>23</v>
      </c>
      <c r="C42" s="123" t="s">
        <v>472</v>
      </c>
      <c r="D42" s="123" t="s">
        <v>473</v>
      </c>
      <c r="E42" s="123"/>
      <c r="F42" s="123" t="s">
        <v>474</v>
      </c>
      <c r="G42" s="123" t="s">
        <v>27</v>
      </c>
      <c r="H42" s="123">
        <v>2021.0</v>
      </c>
      <c r="I42" s="124" t="s">
        <v>475</v>
      </c>
      <c r="J42" s="123" t="s">
        <v>42</v>
      </c>
      <c r="K42" s="123" t="s">
        <v>30</v>
      </c>
      <c r="L42" s="123" t="s">
        <v>30</v>
      </c>
      <c r="M42" s="123" t="s">
        <v>33</v>
      </c>
      <c r="N42" s="123"/>
      <c r="O42" s="123" t="s">
        <v>300</v>
      </c>
      <c r="P42" s="123" t="s">
        <v>35</v>
      </c>
      <c r="Q42" s="18" t="s">
        <v>476</v>
      </c>
      <c r="R42" s="18" t="s">
        <v>477</v>
      </c>
      <c r="S42" s="18" t="s">
        <v>182</v>
      </c>
      <c r="T42" s="125">
        <v>46138.0</v>
      </c>
      <c r="U42" s="18">
        <f t="shared" si="1"/>
        <v>3</v>
      </c>
      <c r="V42" s="18">
        <f t="shared" si="2"/>
        <v>1</v>
      </c>
      <c r="W42" s="18" t="str">
        <f t="shared" si="3"/>
        <v>External</v>
      </c>
    </row>
    <row r="43">
      <c r="A43" s="123" t="s">
        <v>478</v>
      </c>
      <c r="B43" s="123" t="s">
        <v>23</v>
      </c>
      <c r="C43" s="123" t="s">
        <v>472</v>
      </c>
      <c r="D43" s="123" t="s">
        <v>479</v>
      </c>
      <c r="E43" s="123"/>
      <c r="F43" s="123" t="s">
        <v>480</v>
      </c>
      <c r="G43" s="123" t="s">
        <v>27</v>
      </c>
      <c r="H43" s="126">
        <v>45896.0</v>
      </c>
      <c r="I43" s="124" t="s">
        <v>481</v>
      </c>
      <c r="J43" s="123" t="s">
        <v>42</v>
      </c>
      <c r="K43" s="123" t="s">
        <v>30</v>
      </c>
      <c r="L43" s="123" t="s">
        <v>31</v>
      </c>
      <c r="M43" s="123" t="s">
        <v>44</v>
      </c>
      <c r="N43" s="123" t="s">
        <v>45</v>
      </c>
      <c r="O43" s="123" t="s">
        <v>300</v>
      </c>
      <c r="P43" s="123" t="s">
        <v>35</v>
      </c>
      <c r="Q43" s="18" t="s">
        <v>482</v>
      </c>
      <c r="R43" s="18" t="s">
        <v>483</v>
      </c>
      <c r="S43" s="18" t="s">
        <v>182</v>
      </c>
      <c r="T43" s="125">
        <v>46138.0</v>
      </c>
      <c r="U43" s="18">
        <f t="shared" si="1"/>
        <v>3</v>
      </c>
      <c r="V43" s="18">
        <f t="shared" si="2"/>
        <v>1</v>
      </c>
      <c r="W43" s="18" t="str">
        <f t="shared" si="3"/>
        <v>External</v>
      </c>
    </row>
    <row r="44">
      <c r="A44" s="123" t="s">
        <v>484</v>
      </c>
      <c r="B44" s="123" t="s">
        <v>68</v>
      </c>
      <c r="C44" s="123" t="s">
        <v>472</v>
      </c>
      <c r="D44" s="123" t="s">
        <v>485</v>
      </c>
      <c r="E44" s="123"/>
      <c r="F44" s="123" t="s">
        <v>486</v>
      </c>
      <c r="G44" s="123" t="s">
        <v>27</v>
      </c>
      <c r="H44" s="127">
        <v>45991.0</v>
      </c>
      <c r="I44" s="124" t="s">
        <v>487</v>
      </c>
      <c r="J44" s="123" t="s">
        <v>57</v>
      </c>
      <c r="K44" s="123" t="s">
        <v>58</v>
      </c>
      <c r="L44" s="123" t="s">
        <v>31</v>
      </c>
      <c r="M44" s="123" t="s">
        <v>32</v>
      </c>
      <c r="N44" s="123" t="s">
        <v>45</v>
      </c>
      <c r="O44" s="123" t="s">
        <v>34</v>
      </c>
      <c r="P44" s="123" t="s">
        <v>35</v>
      </c>
      <c r="Q44" s="18" t="s">
        <v>488</v>
      </c>
      <c r="R44" s="18" t="s">
        <v>489</v>
      </c>
      <c r="S44" s="18" t="s">
        <v>37</v>
      </c>
      <c r="T44" s="120">
        <v>46137.0</v>
      </c>
      <c r="U44" s="18">
        <f t="shared" si="1"/>
        <v>1</v>
      </c>
      <c r="V44" s="18">
        <f t="shared" si="2"/>
        <v>2</v>
      </c>
      <c r="W44" s="18" t="str">
        <f t="shared" si="3"/>
        <v>External</v>
      </c>
    </row>
    <row r="45">
      <c r="A45" s="123" t="s">
        <v>490</v>
      </c>
      <c r="B45" s="123" t="s">
        <v>68</v>
      </c>
      <c r="C45" s="123" t="s">
        <v>472</v>
      </c>
      <c r="D45" s="123" t="s">
        <v>485</v>
      </c>
      <c r="E45" s="123"/>
      <c r="F45" s="123" t="s">
        <v>491</v>
      </c>
      <c r="G45" s="123" t="s">
        <v>27</v>
      </c>
      <c r="H45" s="127">
        <v>45992.0</v>
      </c>
      <c r="I45" s="124" t="s">
        <v>492</v>
      </c>
      <c r="J45" s="123" t="s">
        <v>57</v>
      </c>
      <c r="K45" s="123" t="s">
        <v>82</v>
      </c>
      <c r="L45" s="123" t="s">
        <v>31</v>
      </c>
      <c r="M45" s="123" t="s">
        <v>32</v>
      </c>
      <c r="N45" s="123" t="s">
        <v>45</v>
      </c>
      <c r="O45" s="123" t="s">
        <v>34</v>
      </c>
      <c r="P45" s="123" t="s">
        <v>35</v>
      </c>
      <c r="Q45" s="18" t="s">
        <v>493</v>
      </c>
      <c r="R45" s="18"/>
      <c r="S45" s="18" t="s">
        <v>37</v>
      </c>
      <c r="T45" s="120">
        <v>46138.0</v>
      </c>
      <c r="U45" s="18">
        <f t="shared" si="1"/>
        <v>1</v>
      </c>
      <c r="V45" s="18">
        <f t="shared" si="2"/>
        <v>2</v>
      </c>
      <c r="W45" s="18" t="str">
        <f t="shared" si="3"/>
        <v>External</v>
      </c>
    </row>
    <row r="46">
      <c r="A46" s="123" t="s">
        <v>494</v>
      </c>
      <c r="B46" s="123" t="s">
        <v>68</v>
      </c>
      <c r="C46" s="123" t="s">
        <v>472</v>
      </c>
      <c r="D46" s="123" t="s">
        <v>495</v>
      </c>
      <c r="E46" s="123"/>
      <c r="F46" s="123" t="s">
        <v>496</v>
      </c>
      <c r="G46" s="123" t="s">
        <v>27</v>
      </c>
      <c r="H46" s="127">
        <v>44917.0</v>
      </c>
      <c r="I46" s="124" t="s">
        <v>497</v>
      </c>
      <c r="J46" s="123" t="s">
        <v>42</v>
      </c>
      <c r="K46" s="123" t="s">
        <v>30</v>
      </c>
      <c r="L46" s="123" t="s">
        <v>31</v>
      </c>
      <c r="M46" s="123" t="s">
        <v>33</v>
      </c>
      <c r="N46" s="123" t="s">
        <v>45</v>
      </c>
      <c r="O46" s="123" t="s">
        <v>34</v>
      </c>
      <c r="P46" s="123" t="s">
        <v>35</v>
      </c>
      <c r="Q46" s="18" t="s">
        <v>498</v>
      </c>
      <c r="R46" s="18"/>
      <c r="S46" s="18"/>
      <c r="T46" s="18"/>
      <c r="U46" s="18">
        <f t="shared" si="1"/>
        <v>3</v>
      </c>
      <c r="V46" s="18">
        <f t="shared" si="2"/>
        <v>2</v>
      </c>
      <c r="W46" s="18" t="str">
        <f t="shared" si="3"/>
        <v>External</v>
      </c>
    </row>
    <row r="47">
      <c r="A47" s="123" t="s">
        <v>499</v>
      </c>
      <c r="B47" s="123" t="s">
        <v>68</v>
      </c>
      <c r="C47" s="123" t="s">
        <v>472</v>
      </c>
      <c r="D47" s="123" t="s">
        <v>500</v>
      </c>
      <c r="E47" s="123"/>
      <c r="F47" s="123" t="s">
        <v>501</v>
      </c>
      <c r="G47" s="123" t="s">
        <v>27</v>
      </c>
      <c r="H47" s="126">
        <v>45105.0</v>
      </c>
      <c r="I47" s="124" t="s">
        <v>502</v>
      </c>
      <c r="J47" s="123" t="s">
        <v>42</v>
      </c>
      <c r="K47" s="123" t="s">
        <v>30</v>
      </c>
      <c r="L47" s="123" t="s">
        <v>30</v>
      </c>
      <c r="M47" s="123" t="s">
        <v>44</v>
      </c>
      <c r="N47" s="123" t="s">
        <v>45</v>
      </c>
      <c r="O47" s="123" t="s">
        <v>34</v>
      </c>
      <c r="P47" s="123" t="s">
        <v>503</v>
      </c>
      <c r="Q47" s="18" t="s">
        <v>504</v>
      </c>
      <c r="R47" s="18"/>
      <c r="S47" s="18" t="s">
        <v>37</v>
      </c>
      <c r="T47" s="120">
        <v>46138.0</v>
      </c>
      <c r="U47" s="18">
        <f t="shared" si="1"/>
        <v>3</v>
      </c>
      <c r="V47" s="18">
        <f t="shared" si="2"/>
        <v>2</v>
      </c>
      <c r="W47" s="18" t="str">
        <f t="shared" si="3"/>
        <v>External</v>
      </c>
    </row>
    <row r="48">
      <c r="A48" s="123" t="s">
        <v>505</v>
      </c>
      <c r="B48" s="123" t="s">
        <v>68</v>
      </c>
      <c r="C48" s="123" t="s">
        <v>472</v>
      </c>
      <c r="D48" s="124" t="s">
        <v>506</v>
      </c>
      <c r="E48" s="123"/>
      <c r="F48" s="123" t="s">
        <v>507</v>
      </c>
      <c r="G48" s="123" t="s">
        <v>71</v>
      </c>
      <c r="H48" s="128">
        <v>46138.0</v>
      </c>
      <c r="I48" s="124" t="s">
        <v>508</v>
      </c>
      <c r="J48" s="123" t="s">
        <v>42</v>
      </c>
      <c r="K48" s="123" t="s">
        <v>30</v>
      </c>
      <c r="L48" s="123" t="s">
        <v>30</v>
      </c>
      <c r="M48" s="123" t="s">
        <v>45</v>
      </c>
      <c r="N48" s="123" t="s">
        <v>44</v>
      </c>
      <c r="O48" s="123" t="s">
        <v>34</v>
      </c>
      <c r="P48" s="123" t="s">
        <v>46</v>
      </c>
      <c r="Q48" s="18" t="s">
        <v>509</v>
      </c>
      <c r="R48" s="18"/>
      <c r="S48" s="18" t="s">
        <v>182</v>
      </c>
      <c r="T48" s="125">
        <v>46138.0</v>
      </c>
      <c r="U48" s="18">
        <f t="shared" si="1"/>
        <v>3</v>
      </c>
      <c r="V48" s="18">
        <f t="shared" si="2"/>
        <v>2</v>
      </c>
      <c r="W48" s="18" t="str">
        <f t="shared" si="3"/>
        <v>External</v>
      </c>
    </row>
    <row r="49">
      <c r="A49" s="123" t="s">
        <v>510</v>
      </c>
      <c r="B49" s="123" t="s">
        <v>68</v>
      </c>
      <c r="C49" s="123" t="s">
        <v>472</v>
      </c>
      <c r="D49" s="123" t="s">
        <v>511</v>
      </c>
      <c r="E49" s="123"/>
      <c r="F49" s="123" t="s">
        <v>512</v>
      </c>
      <c r="G49" s="123" t="s">
        <v>278</v>
      </c>
      <c r="H49" s="123"/>
      <c r="I49" s="124" t="s">
        <v>513</v>
      </c>
      <c r="J49" s="123" t="s">
        <v>42</v>
      </c>
      <c r="K49" s="123" t="s">
        <v>30</v>
      </c>
      <c r="L49" s="123" t="s">
        <v>30</v>
      </c>
      <c r="M49" s="123" t="s">
        <v>44</v>
      </c>
      <c r="N49" s="123" t="s">
        <v>45</v>
      </c>
      <c r="O49" s="123" t="s">
        <v>300</v>
      </c>
      <c r="P49" s="123" t="s">
        <v>35</v>
      </c>
      <c r="Q49" s="18" t="s">
        <v>514</v>
      </c>
      <c r="R49" s="18"/>
      <c r="S49" s="18"/>
      <c r="T49" s="18"/>
      <c r="U49" s="18">
        <f t="shared" si="1"/>
        <v>3</v>
      </c>
      <c r="V49" s="18">
        <f t="shared" si="2"/>
        <v>2</v>
      </c>
      <c r="W49" s="18" t="str">
        <f t="shared" si="3"/>
        <v>External</v>
      </c>
    </row>
    <row r="50">
      <c r="A50" s="123" t="s">
        <v>515</v>
      </c>
      <c r="B50" s="123" t="s">
        <v>68</v>
      </c>
      <c r="C50" s="123" t="s">
        <v>472</v>
      </c>
      <c r="D50" s="123" t="s">
        <v>516</v>
      </c>
      <c r="E50" s="123"/>
      <c r="F50" s="123" t="s">
        <v>517</v>
      </c>
      <c r="G50" s="123" t="s">
        <v>132</v>
      </c>
      <c r="H50" s="123"/>
      <c r="I50" s="124" t="s">
        <v>518</v>
      </c>
      <c r="J50" s="123" t="s">
        <v>42</v>
      </c>
      <c r="K50" s="123" t="s">
        <v>30</v>
      </c>
      <c r="L50" s="123" t="s">
        <v>30</v>
      </c>
      <c r="M50" s="123" t="s">
        <v>44</v>
      </c>
      <c r="N50" s="123"/>
      <c r="O50" s="123" t="s">
        <v>300</v>
      </c>
      <c r="P50" s="123" t="s">
        <v>35</v>
      </c>
      <c r="Q50" s="18" t="s">
        <v>519</v>
      </c>
      <c r="R50" s="18" t="s">
        <v>520</v>
      </c>
      <c r="S50" s="18" t="s">
        <v>182</v>
      </c>
      <c r="T50" s="125">
        <v>46138.0</v>
      </c>
      <c r="U50" s="18">
        <f t="shared" si="1"/>
        <v>3</v>
      </c>
      <c r="V50" s="18">
        <f t="shared" si="2"/>
        <v>2</v>
      </c>
      <c r="W50" s="18" t="str">
        <f t="shared" si="3"/>
        <v>External</v>
      </c>
    </row>
    <row r="51">
      <c r="A51" s="123" t="s">
        <v>521</v>
      </c>
      <c r="B51" s="123" t="s">
        <v>90</v>
      </c>
      <c r="C51" s="123" t="s">
        <v>472</v>
      </c>
      <c r="D51" s="123" t="s">
        <v>522</v>
      </c>
      <c r="E51" s="123" t="s">
        <v>523</v>
      </c>
      <c r="F51" s="123" t="s">
        <v>524</v>
      </c>
      <c r="G51" s="123" t="s">
        <v>132</v>
      </c>
      <c r="H51" s="123"/>
      <c r="I51" s="124" t="s">
        <v>525</v>
      </c>
      <c r="J51" s="123" t="s">
        <v>42</v>
      </c>
      <c r="K51" s="123" t="s">
        <v>30</v>
      </c>
      <c r="L51" s="123" t="s">
        <v>30</v>
      </c>
      <c r="M51" s="123" t="s">
        <v>44</v>
      </c>
      <c r="N51" s="123" t="s">
        <v>45</v>
      </c>
      <c r="O51" s="123" t="s">
        <v>300</v>
      </c>
      <c r="P51" s="123" t="s">
        <v>46</v>
      </c>
      <c r="Q51" s="18" t="s">
        <v>526</v>
      </c>
      <c r="R51" s="18"/>
      <c r="S51" s="18" t="s">
        <v>182</v>
      </c>
      <c r="T51" s="125">
        <v>46138.0</v>
      </c>
      <c r="U51" s="18">
        <f t="shared" si="1"/>
        <v>3</v>
      </c>
      <c r="V51" s="18">
        <f t="shared" si="2"/>
        <v>3</v>
      </c>
      <c r="W51" s="18" t="str">
        <f t="shared" si="3"/>
        <v>Internal</v>
      </c>
    </row>
    <row r="52">
      <c r="A52" s="123" t="s">
        <v>527</v>
      </c>
      <c r="B52" s="123" t="s">
        <v>90</v>
      </c>
      <c r="C52" s="123" t="s">
        <v>472</v>
      </c>
      <c r="D52" s="123" t="s">
        <v>528</v>
      </c>
      <c r="E52" s="123" t="s">
        <v>523</v>
      </c>
      <c r="F52" s="123" t="s">
        <v>529</v>
      </c>
      <c r="G52" s="123" t="s">
        <v>121</v>
      </c>
      <c r="H52" s="123"/>
      <c r="I52" s="124" t="s">
        <v>530</v>
      </c>
      <c r="J52" s="123" t="s">
        <v>42</v>
      </c>
      <c r="K52" s="123" t="s">
        <v>30</v>
      </c>
      <c r="L52" s="123" t="s">
        <v>30</v>
      </c>
      <c r="M52" s="123" t="s">
        <v>45</v>
      </c>
      <c r="N52" s="123" t="s">
        <v>44</v>
      </c>
      <c r="O52" s="123" t="s">
        <v>34</v>
      </c>
      <c r="P52" s="123" t="s">
        <v>46</v>
      </c>
      <c r="Q52" s="18" t="s">
        <v>531</v>
      </c>
      <c r="R52" s="18"/>
      <c r="S52" s="18" t="s">
        <v>182</v>
      </c>
      <c r="T52" s="125">
        <v>46138.0</v>
      </c>
      <c r="U52" s="18">
        <f t="shared" si="1"/>
        <v>3</v>
      </c>
      <c r="V52" s="18">
        <f t="shared" si="2"/>
        <v>3</v>
      </c>
      <c r="W52" s="18" t="str">
        <f t="shared" si="3"/>
        <v>Internal</v>
      </c>
    </row>
    <row r="53">
      <c r="A53" s="123" t="s">
        <v>532</v>
      </c>
      <c r="B53" s="123" t="s">
        <v>90</v>
      </c>
      <c r="C53" s="123" t="s">
        <v>472</v>
      </c>
      <c r="D53" s="123" t="s">
        <v>533</v>
      </c>
      <c r="E53" s="123" t="s">
        <v>523</v>
      </c>
      <c r="F53" s="123" t="s">
        <v>534</v>
      </c>
      <c r="G53" s="123" t="s">
        <v>27</v>
      </c>
      <c r="H53" s="123"/>
      <c r="I53" s="124" t="s">
        <v>535</v>
      </c>
      <c r="J53" s="123" t="s">
        <v>42</v>
      </c>
      <c r="K53" s="123" t="s">
        <v>102</v>
      </c>
      <c r="L53" s="123" t="s">
        <v>103</v>
      </c>
      <c r="M53" s="123" t="s">
        <v>96</v>
      </c>
      <c r="N53" s="123" t="s">
        <v>44</v>
      </c>
      <c r="O53" s="123" t="s">
        <v>34</v>
      </c>
      <c r="P53" s="123" t="s">
        <v>46</v>
      </c>
      <c r="Q53" s="18" t="s">
        <v>536</v>
      </c>
      <c r="R53" s="18"/>
      <c r="S53" s="18" t="s">
        <v>182</v>
      </c>
      <c r="T53" s="125">
        <v>46138.0</v>
      </c>
      <c r="U53" s="18">
        <f t="shared" si="1"/>
        <v>3</v>
      </c>
      <c r="V53" s="18">
        <f t="shared" si="2"/>
        <v>3</v>
      </c>
      <c r="W53" s="18" t="str">
        <f t="shared" si="3"/>
        <v>Internal</v>
      </c>
    </row>
    <row r="54">
      <c r="A54" s="123" t="s">
        <v>537</v>
      </c>
      <c r="B54" s="123" t="s">
        <v>90</v>
      </c>
      <c r="C54" s="123" t="s">
        <v>472</v>
      </c>
      <c r="D54" s="123" t="s">
        <v>523</v>
      </c>
      <c r="E54" s="123" t="s">
        <v>523</v>
      </c>
      <c r="F54" s="123" t="s">
        <v>538</v>
      </c>
      <c r="G54" s="123" t="s">
        <v>94</v>
      </c>
      <c r="H54" s="123"/>
      <c r="I54" s="124" t="s">
        <v>539</v>
      </c>
      <c r="J54" s="123" t="s">
        <v>42</v>
      </c>
      <c r="K54" s="123" t="s">
        <v>30</v>
      </c>
      <c r="L54" s="123" t="s">
        <v>103</v>
      </c>
      <c r="M54" s="123" t="s">
        <v>59</v>
      </c>
      <c r="N54" s="123" t="s">
        <v>44</v>
      </c>
      <c r="O54" s="123" t="s">
        <v>97</v>
      </c>
      <c r="P54" s="123" t="s">
        <v>46</v>
      </c>
      <c r="Q54" s="18" t="s">
        <v>540</v>
      </c>
      <c r="R54" s="18"/>
      <c r="S54" s="18" t="s">
        <v>182</v>
      </c>
      <c r="T54" s="125">
        <v>46138.0</v>
      </c>
      <c r="U54" s="18">
        <f t="shared" si="1"/>
        <v>3</v>
      </c>
      <c r="V54" s="18">
        <f t="shared" si="2"/>
        <v>3</v>
      </c>
      <c r="W54" s="18" t="str">
        <f t="shared" si="3"/>
        <v>Internal</v>
      </c>
    </row>
    <row r="55">
      <c r="A55" s="123" t="s">
        <v>541</v>
      </c>
      <c r="B55" s="123" t="s">
        <v>114</v>
      </c>
      <c r="C55" s="123" t="s">
        <v>472</v>
      </c>
      <c r="D55" s="123" t="s">
        <v>542</v>
      </c>
      <c r="E55" s="123" t="s">
        <v>523</v>
      </c>
      <c r="F55" s="123" t="s">
        <v>543</v>
      </c>
      <c r="G55" s="123" t="s">
        <v>94</v>
      </c>
      <c r="H55" s="123"/>
      <c r="I55" s="124" t="s">
        <v>544</v>
      </c>
      <c r="J55" s="123" t="s">
        <v>57</v>
      </c>
      <c r="K55" s="123" t="s">
        <v>82</v>
      </c>
      <c r="L55" s="123" t="s">
        <v>103</v>
      </c>
      <c r="M55" s="123" t="s">
        <v>96</v>
      </c>
      <c r="N55" s="123" t="s">
        <v>32</v>
      </c>
      <c r="O55" s="123" t="s">
        <v>34</v>
      </c>
      <c r="P55" s="123" t="s">
        <v>503</v>
      </c>
      <c r="Q55" s="18" t="s">
        <v>545</v>
      </c>
      <c r="R55" s="18"/>
      <c r="S55" s="18" t="s">
        <v>182</v>
      </c>
      <c r="T55" s="125">
        <v>46138.0</v>
      </c>
      <c r="U55" s="18">
        <f t="shared" si="1"/>
        <v>1</v>
      </c>
      <c r="V55" s="18">
        <f t="shared" si="2"/>
        <v>4</v>
      </c>
      <c r="W55" s="18" t="str">
        <f t="shared" si="3"/>
        <v>Internal</v>
      </c>
    </row>
    <row r="56">
      <c r="A56" s="123" t="s">
        <v>546</v>
      </c>
      <c r="B56" s="123" t="s">
        <v>90</v>
      </c>
      <c r="C56" s="123" t="s">
        <v>472</v>
      </c>
      <c r="D56" s="123" t="s">
        <v>547</v>
      </c>
      <c r="E56" s="123" t="s">
        <v>523</v>
      </c>
      <c r="F56" s="123" t="s">
        <v>548</v>
      </c>
      <c r="G56" s="123" t="s">
        <v>94</v>
      </c>
      <c r="H56" s="123"/>
      <c r="I56" s="124" t="s">
        <v>549</v>
      </c>
      <c r="J56" s="123" t="s">
        <v>57</v>
      </c>
      <c r="K56" s="123" t="s">
        <v>82</v>
      </c>
      <c r="L56" s="123" t="s">
        <v>103</v>
      </c>
      <c r="M56" s="123" t="s">
        <v>96</v>
      </c>
      <c r="N56" s="123" t="s">
        <v>32</v>
      </c>
      <c r="O56" s="123" t="s">
        <v>34</v>
      </c>
      <c r="P56" s="123" t="s">
        <v>503</v>
      </c>
      <c r="Q56" s="18" t="s">
        <v>550</v>
      </c>
      <c r="R56" s="18"/>
      <c r="S56" s="18" t="s">
        <v>182</v>
      </c>
      <c r="T56" s="125">
        <v>46138.0</v>
      </c>
      <c r="U56" s="18">
        <f t="shared" si="1"/>
        <v>1</v>
      </c>
      <c r="V56" s="18">
        <f t="shared" si="2"/>
        <v>3</v>
      </c>
      <c r="W56" s="18" t="str">
        <f t="shared" si="3"/>
        <v>Internal</v>
      </c>
    </row>
    <row r="57">
      <c r="A57" s="123" t="s">
        <v>551</v>
      </c>
      <c r="B57" s="123" t="s">
        <v>174</v>
      </c>
      <c r="C57" s="123" t="s">
        <v>472</v>
      </c>
      <c r="D57" s="123" t="s">
        <v>523</v>
      </c>
      <c r="E57" s="123" t="s">
        <v>523</v>
      </c>
      <c r="F57" s="123" t="s">
        <v>552</v>
      </c>
      <c r="G57" s="123" t="s">
        <v>177</v>
      </c>
      <c r="H57" s="123"/>
      <c r="I57" s="124" t="s">
        <v>553</v>
      </c>
      <c r="J57" s="123" t="s">
        <v>57</v>
      </c>
      <c r="K57" s="123" t="s">
        <v>30</v>
      </c>
      <c r="L57" s="123" t="s">
        <v>103</v>
      </c>
      <c r="M57" s="123" t="s">
        <v>96</v>
      </c>
      <c r="N57" s="123" t="s">
        <v>45</v>
      </c>
      <c r="O57" s="123" t="s">
        <v>110</v>
      </c>
      <c r="P57" s="123" t="s">
        <v>151</v>
      </c>
      <c r="Q57" s="18" t="s">
        <v>554</v>
      </c>
      <c r="R57" s="18" t="s">
        <v>555</v>
      </c>
      <c r="S57" s="18" t="s">
        <v>182</v>
      </c>
      <c r="T57" s="125">
        <v>46138.0</v>
      </c>
      <c r="U57" s="18">
        <f t="shared" si="1"/>
        <v>1</v>
      </c>
      <c r="V57" s="18">
        <f t="shared" si="2"/>
        <v>5</v>
      </c>
      <c r="W57" s="18" t="str">
        <f t="shared" si="3"/>
        <v>Internal</v>
      </c>
    </row>
    <row r="58">
      <c r="A58" s="123" t="s">
        <v>556</v>
      </c>
      <c r="B58" s="123" t="s">
        <v>114</v>
      </c>
      <c r="C58" s="123" t="s">
        <v>472</v>
      </c>
      <c r="D58" s="123" t="s">
        <v>523</v>
      </c>
      <c r="E58" s="123" t="s">
        <v>523</v>
      </c>
      <c r="F58" s="123" t="s">
        <v>557</v>
      </c>
      <c r="G58" s="123" t="s">
        <v>177</v>
      </c>
      <c r="H58" s="123"/>
      <c r="I58" s="124" t="s">
        <v>558</v>
      </c>
      <c r="J58" s="123" t="s">
        <v>29</v>
      </c>
      <c r="K58" s="123" t="s">
        <v>30</v>
      </c>
      <c r="L58" s="123" t="s">
        <v>30</v>
      </c>
      <c r="M58" s="123" t="s">
        <v>45</v>
      </c>
      <c r="N58" s="123"/>
      <c r="O58" s="123" t="s">
        <v>300</v>
      </c>
      <c r="P58" s="123" t="s">
        <v>151</v>
      </c>
      <c r="Q58" s="18" t="s">
        <v>559</v>
      </c>
      <c r="R58" s="18"/>
      <c r="S58" s="18"/>
      <c r="T58" s="18"/>
      <c r="U58" s="18">
        <f t="shared" si="1"/>
        <v>2</v>
      </c>
      <c r="V58" s="18">
        <f t="shared" si="2"/>
        <v>4</v>
      </c>
      <c r="W58" s="18" t="str">
        <f t="shared" si="3"/>
        <v>Internal</v>
      </c>
    </row>
    <row r="59">
      <c r="A59" s="123" t="s">
        <v>560</v>
      </c>
      <c r="B59" s="123" t="s">
        <v>114</v>
      </c>
      <c r="C59" s="123" t="s">
        <v>472</v>
      </c>
      <c r="D59" s="123" t="s">
        <v>523</v>
      </c>
      <c r="E59" s="123" t="s">
        <v>523</v>
      </c>
      <c r="F59" s="123" t="s">
        <v>561</v>
      </c>
      <c r="G59" s="123" t="s">
        <v>177</v>
      </c>
      <c r="H59" s="123"/>
      <c r="I59" s="124" t="s">
        <v>562</v>
      </c>
      <c r="J59" s="123" t="s">
        <v>42</v>
      </c>
      <c r="K59" s="123" t="s">
        <v>30</v>
      </c>
      <c r="L59" s="123" t="s">
        <v>150</v>
      </c>
      <c r="M59" s="123" t="s">
        <v>45</v>
      </c>
      <c r="N59" s="123"/>
      <c r="O59" s="123" t="s">
        <v>110</v>
      </c>
      <c r="P59" s="123" t="s">
        <v>151</v>
      </c>
      <c r="Q59" s="18" t="s">
        <v>563</v>
      </c>
      <c r="R59" s="18" t="s">
        <v>564</v>
      </c>
      <c r="S59" s="18" t="s">
        <v>182</v>
      </c>
      <c r="T59" s="125">
        <v>46138.0</v>
      </c>
      <c r="U59" s="18">
        <f t="shared" si="1"/>
        <v>3</v>
      </c>
      <c r="V59" s="18">
        <f t="shared" si="2"/>
        <v>4</v>
      </c>
      <c r="W59" s="18" t="str">
        <f t="shared" si="3"/>
        <v>Internal</v>
      </c>
    </row>
    <row r="60">
      <c r="A60" s="123" t="s">
        <v>565</v>
      </c>
      <c r="B60" s="123" t="s">
        <v>114</v>
      </c>
      <c r="C60" s="123" t="s">
        <v>472</v>
      </c>
      <c r="D60" s="123" t="s">
        <v>566</v>
      </c>
      <c r="E60" s="123" t="s">
        <v>523</v>
      </c>
      <c r="F60" s="123" t="s">
        <v>567</v>
      </c>
      <c r="G60" s="123" t="s">
        <v>94</v>
      </c>
      <c r="H60" s="123"/>
      <c r="I60" s="124" t="s">
        <v>568</v>
      </c>
      <c r="J60" s="123" t="s">
        <v>29</v>
      </c>
      <c r="K60" s="123" t="s">
        <v>30</v>
      </c>
      <c r="L60" s="123" t="s">
        <v>150</v>
      </c>
      <c r="M60" s="123" t="s">
        <v>96</v>
      </c>
      <c r="N60" s="123"/>
      <c r="O60" s="123" t="s">
        <v>97</v>
      </c>
      <c r="P60" s="123" t="s">
        <v>46</v>
      </c>
      <c r="Q60" s="18" t="s">
        <v>569</v>
      </c>
      <c r="R60" s="18" t="s">
        <v>570</v>
      </c>
      <c r="S60" s="18" t="s">
        <v>182</v>
      </c>
      <c r="T60" s="125">
        <v>46138.0</v>
      </c>
      <c r="U60" s="18">
        <f t="shared" si="1"/>
        <v>2</v>
      </c>
      <c r="V60" s="18">
        <f t="shared" si="2"/>
        <v>4</v>
      </c>
      <c r="W60" s="18" t="str">
        <f t="shared" si="3"/>
        <v>Internal</v>
      </c>
    </row>
    <row r="61">
      <c r="A61" s="123" t="s">
        <v>571</v>
      </c>
      <c r="B61" s="123" t="s">
        <v>90</v>
      </c>
      <c r="C61" s="123" t="s">
        <v>472</v>
      </c>
      <c r="D61" s="123" t="s">
        <v>522</v>
      </c>
      <c r="E61" s="123" t="s">
        <v>523</v>
      </c>
      <c r="F61" s="123" t="s">
        <v>572</v>
      </c>
      <c r="G61" s="123" t="s">
        <v>132</v>
      </c>
      <c r="H61" s="123"/>
      <c r="I61" s="124" t="s">
        <v>573</v>
      </c>
      <c r="J61" s="123" t="s">
        <v>42</v>
      </c>
      <c r="K61" s="123" t="s">
        <v>30</v>
      </c>
      <c r="L61" s="123" t="s">
        <v>30</v>
      </c>
      <c r="M61" s="123" t="s">
        <v>44</v>
      </c>
      <c r="N61" s="123"/>
      <c r="O61" s="123" t="s">
        <v>300</v>
      </c>
      <c r="P61" s="123" t="s">
        <v>46</v>
      </c>
      <c r="Q61" s="18" t="s">
        <v>574</v>
      </c>
      <c r="R61" s="18" t="s">
        <v>575</v>
      </c>
      <c r="S61" s="18" t="s">
        <v>182</v>
      </c>
      <c r="T61" s="125">
        <v>46138.0</v>
      </c>
      <c r="U61" s="18">
        <f t="shared" si="1"/>
        <v>3</v>
      </c>
      <c r="V61" s="18">
        <f t="shared" si="2"/>
        <v>3</v>
      </c>
      <c r="W61" s="18" t="str">
        <f t="shared" si="3"/>
        <v>Internal</v>
      </c>
    </row>
    <row r="62">
      <c r="A62" s="123" t="s">
        <v>576</v>
      </c>
      <c r="B62" s="123" t="s">
        <v>90</v>
      </c>
      <c r="C62" s="123" t="s">
        <v>472</v>
      </c>
      <c r="D62" s="123" t="s">
        <v>577</v>
      </c>
      <c r="E62" s="123" t="s">
        <v>578</v>
      </c>
      <c r="F62" s="123" t="s">
        <v>579</v>
      </c>
      <c r="G62" s="123" t="s">
        <v>71</v>
      </c>
      <c r="H62" s="128"/>
      <c r="I62" s="124" t="s">
        <v>580</v>
      </c>
      <c r="J62" s="123" t="s">
        <v>42</v>
      </c>
      <c r="K62" s="123" t="s">
        <v>102</v>
      </c>
      <c r="L62" s="123" t="s">
        <v>103</v>
      </c>
      <c r="M62" s="123" t="s">
        <v>45</v>
      </c>
      <c r="N62" s="123"/>
      <c r="O62" s="123" t="s">
        <v>34</v>
      </c>
      <c r="P62" s="123" t="s">
        <v>46</v>
      </c>
      <c r="Q62" s="18" t="s">
        <v>581</v>
      </c>
      <c r="R62" s="18"/>
      <c r="S62" s="18" t="s">
        <v>182</v>
      </c>
      <c r="T62" s="125">
        <v>46138.0</v>
      </c>
      <c r="U62" s="18">
        <f t="shared" si="1"/>
        <v>3</v>
      </c>
      <c r="V62" s="18">
        <f t="shared" si="2"/>
        <v>3</v>
      </c>
      <c r="W62" s="18" t="str">
        <f t="shared" si="3"/>
        <v>Internal</v>
      </c>
    </row>
    <row r="63">
      <c r="A63" s="123" t="s">
        <v>582</v>
      </c>
      <c r="B63" s="123" t="s">
        <v>90</v>
      </c>
      <c r="C63" s="123" t="s">
        <v>472</v>
      </c>
      <c r="D63" s="123" t="s">
        <v>583</v>
      </c>
      <c r="E63" s="123" t="s">
        <v>578</v>
      </c>
      <c r="F63" s="123" t="s">
        <v>584</v>
      </c>
      <c r="G63" s="123" t="s">
        <v>132</v>
      </c>
      <c r="H63" s="128"/>
      <c r="I63" s="124" t="s">
        <v>585</v>
      </c>
      <c r="J63" s="123" t="s">
        <v>42</v>
      </c>
      <c r="K63" s="123" t="s">
        <v>30</v>
      </c>
      <c r="L63" s="123" t="s">
        <v>30</v>
      </c>
      <c r="M63" s="123" t="s">
        <v>44</v>
      </c>
      <c r="N63" s="123"/>
      <c r="O63" s="123" t="s">
        <v>300</v>
      </c>
      <c r="P63" s="123" t="s">
        <v>46</v>
      </c>
      <c r="Q63" s="18" t="s">
        <v>586</v>
      </c>
      <c r="R63" s="18" t="s">
        <v>587</v>
      </c>
      <c r="S63" s="18" t="s">
        <v>182</v>
      </c>
      <c r="T63" s="125">
        <v>46138.0</v>
      </c>
      <c r="U63" s="18">
        <f t="shared" si="1"/>
        <v>3</v>
      </c>
      <c r="V63" s="18">
        <f t="shared" si="2"/>
        <v>3</v>
      </c>
      <c r="W63" s="18" t="str">
        <f t="shared" si="3"/>
        <v>Internal</v>
      </c>
    </row>
    <row r="64">
      <c r="A64" s="123" t="s">
        <v>588</v>
      </c>
      <c r="B64" s="123" t="s">
        <v>90</v>
      </c>
      <c r="C64" s="123" t="s">
        <v>472</v>
      </c>
      <c r="D64" s="123" t="s">
        <v>577</v>
      </c>
      <c r="E64" s="123" t="s">
        <v>578</v>
      </c>
      <c r="F64" s="123" t="s">
        <v>589</v>
      </c>
      <c r="G64" s="123" t="s">
        <v>94</v>
      </c>
      <c r="H64" s="128">
        <v>45566.0</v>
      </c>
      <c r="I64" s="124" t="s">
        <v>590</v>
      </c>
      <c r="J64" s="123" t="s">
        <v>42</v>
      </c>
      <c r="K64" s="123" t="s">
        <v>82</v>
      </c>
      <c r="L64" s="123" t="s">
        <v>150</v>
      </c>
      <c r="M64" s="123" t="s">
        <v>96</v>
      </c>
      <c r="N64" s="123" t="s">
        <v>44</v>
      </c>
      <c r="O64" s="123" t="s">
        <v>97</v>
      </c>
      <c r="P64" s="123" t="s">
        <v>46</v>
      </c>
      <c r="Q64" s="18" t="s">
        <v>591</v>
      </c>
      <c r="R64" s="18"/>
      <c r="S64" s="18" t="s">
        <v>182</v>
      </c>
      <c r="T64" s="129">
        <v>46137.0</v>
      </c>
      <c r="U64" s="18">
        <f t="shared" si="1"/>
        <v>3</v>
      </c>
      <c r="V64" s="18">
        <f t="shared" si="2"/>
        <v>3</v>
      </c>
      <c r="W64" s="18" t="str">
        <f t="shared" si="3"/>
        <v>Internal</v>
      </c>
    </row>
    <row r="65">
      <c r="A65" s="123" t="s">
        <v>592</v>
      </c>
      <c r="B65" s="123" t="s">
        <v>90</v>
      </c>
      <c r="C65" s="123" t="s">
        <v>472</v>
      </c>
      <c r="D65" s="123" t="s">
        <v>593</v>
      </c>
      <c r="E65" s="123" t="s">
        <v>578</v>
      </c>
      <c r="F65" s="123" t="s">
        <v>594</v>
      </c>
      <c r="G65" s="123" t="s">
        <v>27</v>
      </c>
      <c r="H65" s="128">
        <v>45513.0</v>
      </c>
      <c r="I65" s="124" t="s">
        <v>595</v>
      </c>
      <c r="J65" s="123" t="s">
        <v>57</v>
      </c>
      <c r="K65" s="123" t="s">
        <v>82</v>
      </c>
      <c r="L65" s="123" t="s">
        <v>103</v>
      </c>
      <c r="M65" s="123" t="s">
        <v>96</v>
      </c>
      <c r="N65" s="123" t="s">
        <v>59</v>
      </c>
      <c r="O65" s="123" t="s">
        <v>97</v>
      </c>
      <c r="P65" s="123" t="s">
        <v>46</v>
      </c>
      <c r="Q65" s="18" t="s">
        <v>596</v>
      </c>
      <c r="R65" s="18" t="s">
        <v>597</v>
      </c>
      <c r="S65" s="18" t="s">
        <v>182</v>
      </c>
      <c r="T65" s="129">
        <v>46137.0</v>
      </c>
      <c r="U65" s="18">
        <f t="shared" si="1"/>
        <v>1</v>
      </c>
      <c r="V65" s="18">
        <f t="shared" si="2"/>
        <v>3</v>
      </c>
      <c r="W65" s="18" t="str">
        <f t="shared" si="3"/>
        <v>Internal</v>
      </c>
    </row>
    <row r="66">
      <c r="A66" s="123" t="s">
        <v>598</v>
      </c>
      <c r="B66" s="123" t="s">
        <v>114</v>
      </c>
      <c r="C66" s="123" t="s">
        <v>472</v>
      </c>
      <c r="D66" s="123" t="s">
        <v>599</v>
      </c>
      <c r="E66" s="123" t="s">
        <v>578</v>
      </c>
      <c r="F66" s="123" t="s">
        <v>600</v>
      </c>
      <c r="G66" s="123" t="s">
        <v>94</v>
      </c>
      <c r="H66" s="128">
        <v>45673.0</v>
      </c>
      <c r="I66" s="124" t="s">
        <v>601</v>
      </c>
      <c r="J66" s="123" t="s">
        <v>57</v>
      </c>
      <c r="K66" s="123" t="s">
        <v>82</v>
      </c>
      <c r="L66" s="123" t="s">
        <v>43</v>
      </c>
      <c r="M66" s="123" t="s">
        <v>96</v>
      </c>
      <c r="N66" s="123"/>
      <c r="O66" s="123" t="s">
        <v>110</v>
      </c>
      <c r="P66" s="123" t="s">
        <v>46</v>
      </c>
      <c r="Q66" s="18" t="s">
        <v>602</v>
      </c>
      <c r="R66" s="18" t="s">
        <v>603</v>
      </c>
      <c r="S66" s="18" t="s">
        <v>182</v>
      </c>
      <c r="T66" s="125">
        <v>46137.0</v>
      </c>
      <c r="U66" s="18">
        <f t="shared" si="1"/>
        <v>1</v>
      </c>
      <c r="V66" s="18">
        <f t="shared" si="2"/>
        <v>4</v>
      </c>
      <c r="W66" s="18" t="str">
        <f t="shared" si="3"/>
        <v>Internal</v>
      </c>
    </row>
    <row r="67">
      <c r="A67" s="123" t="s">
        <v>604</v>
      </c>
      <c r="B67" s="123" t="s">
        <v>174</v>
      </c>
      <c r="C67" s="123" t="s">
        <v>472</v>
      </c>
      <c r="D67" s="123" t="s">
        <v>605</v>
      </c>
      <c r="E67" s="123" t="s">
        <v>578</v>
      </c>
      <c r="F67" s="123" t="s">
        <v>606</v>
      </c>
      <c r="G67" s="123" t="s">
        <v>177</v>
      </c>
      <c r="H67" s="123"/>
      <c r="I67" s="124" t="s">
        <v>607</v>
      </c>
      <c r="J67" s="123" t="s">
        <v>29</v>
      </c>
      <c r="K67" s="123" t="s">
        <v>30</v>
      </c>
      <c r="L67" s="123" t="s">
        <v>150</v>
      </c>
      <c r="M67" s="123" t="s">
        <v>96</v>
      </c>
      <c r="N67" s="123"/>
      <c r="O67" s="123" t="s">
        <v>97</v>
      </c>
      <c r="P67" s="123" t="s">
        <v>151</v>
      </c>
      <c r="Q67" s="18" t="s">
        <v>608</v>
      </c>
      <c r="R67" s="18" t="s">
        <v>609</v>
      </c>
      <c r="S67" s="18" t="s">
        <v>182</v>
      </c>
      <c r="T67" s="125">
        <v>46137.0</v>
      </c>
      <c r="U67" s="18">
        <f t="shared" si="1"/>
        <v>2</v>
      </c>
      <c r="V67" s="18">
        <f t="shared" si="2"/>
        <v>5</v>
      </c>
      <c r="W67" s="18" t="str">
        <f t="shared" si="3"/>
        <v>Internal</v>
      </c>
    </row>
    <row r="68">
      <c r="A68" s="123" t="s">
        <v>610</v>
      </c>
      <c r="B68" s="123" t="s">
        <v>174</v>
      </c>
      <c r="C68" s="123" t="s">
        <v>472</v>
      </c>
      <c r="D68" s="123" t="s">
        <v>605</v>
      </c>
      <c r="E68" s="123" t="s">
        <v>578</v>
      </c>
      <c r="F68" s="123" t="s">
        <v>611</v>
      </c>
      <c r="G68" s="123" t="s">
        <v>177</v>
      </c>
      <c r="H68" s="123"/>
      <c r="I68" s="124" t="s">
        <v>612</v>
      </c>
      <c r="J68" s="123" t="s">
        <v>29</v>
      </c>
      <c r="K68" s="123" t="s">
        <v>30</v>
      </c>
      <c r="L68" s="123" t="s">
        <v>150</v>
      </c>
      <c r="M68" s="123" t="s">
        <v>96</v>
      </c>
      <c r="N68" s="123"/>
      <c r="O68" s="123" t="s">
        <v>97</v>
      </c>
      <c r="P68" s="123" t="s">
        <v>151</v>
      </c>
      <c r="Q68" s="18" t="s">
        <v>608</v>
      </c>
      <c r="R68" s="18" t="s">
        <v>609</v>
      </c>
      <c r="S68" s="18" t="s">
        <v>182</v>
      </c>
      <c r="T68" s="125">
        <v>46137.0</v>
      </c>
      <c r="U68" s="18">
        <f t="shared" si="1"/>
        <v>2</v>
      </c>
      <c r="V68" s="18">
        <f t="shared" si="2"/>
        <v>5</v>
      </c>
      <c r="W68" s="18" t="str">
        <f t="shared" si="3"/>
        <v>Internal</v>
      </c>
    </row>
    <row r="69">
      <c r="A69" s="123" t="s">
        <v>613</v>
      </c>
      <c r="B69" s="123" t="s">
        <v>174</v>
      </c>
      <c r="C69" s="123" t="s">
        <v>472</v>
      </c>
      <c r="D69" s="123" t="s">
        <v>614</v>
      </c>
      <c r="E69" s="123" t="s">
        <v>578</v>
      </c>
      <c r="F69" s="123" t="s">
        <v>615</v>
      </c>
      <c r="G69" s="123" t="s">
        <v>177</v>
      </c>
      <c r="H69" s="123"/>
      <c r="I69" s="124" t="s">
        <v>616</v>
      </c>
      <c r="J69" s="123" t="s">
        <v>29</v>
      </c>
      <c r="K69" s="123" t="s">
        <v>30</v>
      </c>
      <c r="L69" s="123" t="s">
        <v>150</v>
      </c>
      <c r="M69" s="123" t="s">
        <v>96</v>
      </c>
      <c r="N69" s="123"/>
      <c r="O69" s="123" t="s">
        <v>97</v>
      </c>
      <c r="P69" s="123" t="s">
        <v>151</v>
      </c>
      <c r="Q69" s="18" t="s">
        <v>617</v>
      </c>
      <c r="R69" s="18" t="s">
        <v>618</v>
      </c>
      <c r="S69" s="18" t="s">
        <v>182</v>
      </c>
      <c r="T69" s="125">
        <v>46137.0</v>
      </c>
      <c r="U69" s="18">
        <f t="shared" si="1"/>
        <v>2</v>
      </c>
      <c r="V69" s="18">
        <f t="shared" si="2"/>
        <v>5</v>
      </c>
      <c r="W69" s="18" t="str">
        <f t="shared" si="3"/>
        <v>Internal</v>
      </c>
    </row>
    <row r="70">
      <c r="A70" s="123" t="s">
        <v>619</v>
      </c>
      <c r="B70" s="123" t="s">
        <v>90</v>
      </c>
      <c r="C70" s="123" t="s">
        <v>472</v>
      </c>
      <c r="D70" s="123" t="s">
        <v>620</v>
      </c>
      <c r="E70" s="123" t="s">
        <v>578</v>
      </c>
      <c r="F70" s="123" t="s">
        <v>621</v>
      </c>
      <c r="G70" s="123" t="s">
        <v>94</v>
      </c>
      <c r="H70" s="123"/>
      <c r="I70" s="124" t="s">
        <v>622</v>
      </c>
      <c r="J70" s="123" t="s">
        <v>42</v>
      </c>
      <c r="K70" s="123" t="s">
        <v>30</v>
      </c>
      <c r="L70" s="123" t="s">
        <v>150</v>
      </c>
      <c r="M70" s="123" t="s">
        <v>45</v>
      </c>
      <c r="N70" s="123"/>
      <c r="O70" s="123" t="s">
        <v>110</v>
      </c>
      <c r="P70" s="123" t="s">
        <v>151</v>
      </c>
      <c r="Q70" s="18" t="s">
        <v>623</v>
      </c>
      <c r="R70" s="18" t="s">
        <v>624</v>
      </c>
      <c r="S70" s="18" t="s">
        <v>182</v>
      </c>
      <c r="T70" s="125">
        <v>46138.0</v>
      </c>
      <c r="U70" s="18">
        <f t="shared" si="1"/>
        <v>3</v>
      </c>
      <c r="V70" s="18">
        <f t="shared" si="2"/>
        <v>3</v>
      </c>
      <c r="W70" s="18" t="str">
        <f t="shared" si="3"/>
        <v>Internal</v>
      </c>
    </row>
    <row r="71">
      <c r="A71" s="123" t="s">
        <v>625</v>
      </c>
      <c r="B71" s="123" t="s">
        <v>90</v>
      </c>
      <c r="C71" s="123" t="s">
        <v>472</v>
      </c>
      <c r="D71" s="123" t="s">
        <v>626</v>
      </c>
      <c r="E71" s="123" t="s">
        <v>627</v>
      </c>
      <c r="F71" s="123" t="s">
        <v>628</v>
      </c>
      <c r="G71" s="123" t="s">
        <v>132</v>
      </c>
      <c r="H71" s="128"/>
      <c r="I71" s="124" t="s">
        <v>629</v>
      </c>
      <c r="J71" s="123" t="s">
        <v>29</v>
      </c>
      <c r="K71" s="123" t="s">
        <v>30</v>
      </c>
      <c r="L71" s="123" t="s">
        <v>30</v>
      </c>
      <c r="M71" s="123" t="s">
        <v>44</v>
      </c>
      <c r="N71" s="123"/>
      <c r="O71" s="123" t="s">
        <v>300</v>
      </c>
      <c r="P71" s="123" t="s">
        <v>46</v>
      </c>
      <c r="Q71" s="18" t="s">
        <v>630</v>
      </c>
      <c r="R71" s="18"/>
      <c r="S71" s="18" t="s">
        <v>182</v>
      </c>
      <c r="T71" s="125">
        <v>46138.0</v>
      </c>
      <c r="U71" s="18">
        <f t="shared" si="1"/>
        <v>2</v>
      </c>
      <c r="V71" s="18">
        <f t="shared" si="2"/>
        <v>3</v>
      </c>
      <c r="W71" s="18" t="str">
        <f t="shared" si="3"/>
        <v>Internal</v>
      </c>
    </row>
    <row r="72">
      <c r="A72" s="123" t="s">
        <v>631</v>
      </c>
      <c r="B72" s="123" t="s">
        <v>90</v>
      </c>
      <c r="C72" s="123" t="s">
        <v>472</v>
      </c>
      <c r="D72" s="123" t="s">
        <v>632</v>
      </c>
      <c r="E72" s="123" t="s">
        <v>627</v>
      </c>
      <c r="F72" s="123" t="s">
        <v>633</v>
      </c>
      <c r="G72" s="123" t="s">
        <v>94</v>
      </c>
      <c r="H72" s="128">
        <v>46027.0</v>
      </c>
      <c r="I72" s="124" t="s">
        <v>634</v>
      </c>
      <c r="J72" s="123" t="s">
        <v>29</v>
      </c>
      <c r="K72" s="123" t="s">
        <v>82</v>
      </c>
      <c r="L72" s="123" t="s">
        <v>103</v>
      </c>
      <c r="M72" s="123" t="s">
        <v>96</v>
      </c>
      <c r="N72" s="123"/>
      <c r="O72" s="123" t="s">
        <v>97</v>
      </c>
      <c r="P72" s="123" t="s">
        <v>46</v>
      </c>
      <c r="Q72" s="18" t="s">
        <v>635</v>
      </c>
      <c r="R72" s="18"/>
      <c r="S72" s="18" t="s">
        <v>182</v>
      </c>
      <c r="T72" s="125">
        <v>46137.0</v>
      </c>
      <c r="U72" s="18">
        <f t="shared" si="1"/>
        <v>2</v>
      </c>
      <c r="V72" s="18">
        <f t="shared" si="2"/>
        <v>3</v>
      </c>
      <c r="W72" s="18" t="str">
        <f t="shared" si="3"/>
        <v>Internal</v>
      </c>
    </row>
    <row r="73">
      <c r="A73" s="123" t="s">
        <v>636</v>
      </c>
      <c r="B73" s="123" t="s">
        <v>114</v>
      </c>
      <c r="C73" s="123" t="s">
        <v>472</v>
      </c>
      <c r="D73" s="123" t="s">
        <v>637</v>
      </c>
      <c r="E73" s="123" t="s">
        <v>627</v>
      </c>
      <c r="F73" s="123" t="s">
        <v>638</v>
      </c>
      <c r="G73" s="123" t="s">
        <v>27</v>
      </c>
      <c r="H73" s="128">
        <v>45901.0</v>
      </c>
      <c r="I73" s="124" t="s">
        <v>639</v>
      </c>
      <c r="J73" s="123" t="s">
        <v>29</v>
      </c>
      <c r="K73" s="123" t="s">
        <v>82</v>
      </c>
      <c r="L73" s="123" t="s">
        <v>103</v>
      </c>
      <c r="M73" s="123" t="s">
        <v>96</v>
      </c>
      <c r="N73" s="123" t="s">
        <v>45</v>
      </c>
      <c r="O73" s="123" t="s">
        <v>97</v>
      </c>
      <c r="P73" s="123" t="s">
        <v>503</v>
      </c>
      <c r="Q73" s="18" t="s">
        <v>640</v>
      </c>
      <c r="R73" s="18"/>
      <c r="S73" s="18" t="s">
        <v>182</v>
      </c>
      <c r="T73" s="125">
        <v>46137.0</v>
      </c>
      <c r="U73" s="18">
        <f t="shared" si="1"/>
        <v>2</v>
      </c>
      <c r="V73" s="18">
        <f t="shared" si="2"/>
        <v>4</v>
      </c>
      <c r="W73" s="18" t="str">
        <f t="shared" si="3"/>
        <v>Internal</v>
      </c>
    </row>
    <row r="74">
      <c r="A74" s="123" t="s">
        <v>641</v>
      </c>
      <c r="B74" s="123" t="s">
        <v>114</v>
      </c>
      <c r="C74" s="123" t="s">
        <v>472</v>
      </c>
      <c r="D74" s="123" t="s">
        <v>642</v>
      </c>
      <c r="E74" s="123" t="s">
        <v>627</v>
      </c>
      <c r="F74" s="123" t="s">
        <v>643</v>
      </c>
      <c r="G74" s="123" t="s">
        <v>27</v>
      </c>
      <c r="H74" s="128">
        <v>46021.0</v>
      </c>
      <c r="I74" s="124" t="s">
        <v>644</v>
      </c>
      <c r="J74" s="123" t="s">
        <v>42</v>
      </c>
      <c r="K74" s="123" t="s">
        <v>82</v>
      </c>
      <c r="L74" s="123" t="s">
        <v>150</v>
      </c>
      <c r="M74" s="123" t="s">
        <v>44</v>
      </c>
      <c r="N74" s="123"/>
      <c r="O74" s="123" t="s">
        <v>34</v>
      </c>
      <c r="P74" s="123" t="s">
        <v>151</v>
      </c>
      <c r="Q74" s="18" t="s">
        <v>645</v>
      </c>
      <c r="R74" s="18" t="s">
        <v>646</v>
      </c>
      <c r="S74" s="18" t="s">
        <v>182</v>
      </c>
      <c r="T74" s="125">
        <v>46137.0</v>
      </c>
      <c r="U74" s="18">
        <f t="shared" si="1"/>
        <v>3</v>
      </c>
      <c r="V74" s="18">
        <f t="shared" si="2"/>
        <v>4</v>
      </c>
      <c r="W74" s="18" t="str">
        <f t="shared" si="3"/>
        <v>Internal</v>
      </c>
    </row>
    <row r="75">
      <c r="A75" s="123" t="s">
        <v>647</v>
      </c>
      <c r="B75" s="123" t="s">
        <v>90</v>
      </c>
      <c r="C75" s="123" t="s">
        <v>472</v>
      </c>
      <c r="D75" s="123" t="s">
        <v>648</v>
      </c>
      <c r="E75" s="123" t="s">
        <v>627</v>
      </c>
      <c r="F75" s="123" t="s">
        <v>649</v>
      </c>
      <c r="G75" s="123" t="s">
        <v>121</v>
      </c>
      <c r="H75" s="128">
        <v>46128.0</v>
      </c>
      <c r="I75" s="124" t="s">
        <v>650</v>
      </c>
      <c r="J75" s="123" t="s">
        <v>29</v>
      </c>
      <c r="K75" s="123" t="s">
        <v>82</v>
      </c>
      <c r="L75" s="123" t="s">
        <v>103</v>
      </c>
      <c r="M75" s="123" t="s">
        <v>96</v>
      </c>
      <c r="N75" s="123"/>
      <c r="O75" s="123" t="s">
        <v>34</v>
      </c>
      <c r="P75" s="123" t="s">
        <v>151</v>
      </c>
      <c r="Q75" s="18" t="s">
        <v>651</v>
      </c>
      <c r="R75" s="18" t="s">
        <v>652</v>
      </c>
      <c r="S75" s="18" t="s">
        <v>182</v>
      </c>
      <c r="T75" s="125">
        <v>46137.0</v>
      </c>
      <c r="U75" s="18">
        <f t="shared" si="1"/>
        <v>2</v>
      </c>
      <c r="V75" s="18">
        <f t="shared" si="2"/>
        <v>3</v>
      </c>
      <c r="W75" s="18" t="str">
        <f t="shared" si="3"/>
        <v>Internal</v>
      </c>
    </row>
    <row r="76">
      <c r="A76" s="123" t="s">
        <v>653</v>
      </c>
      <c r="B76" s="123" t="s">
        <v>90</v>
      </c>
      <c r="C76" s="123" t="s">
        <v>472</v>
      </c>
      <c r="D76" s="123" t="s">
        <v>654</v>
      </c>
      <c r="E76" s="123" t="s">
        <v>627</v>
      </c>
      <c r="F76" s="123" t="s">
        <v>655</v>
      </c>
      <c r="G76" s="123" t="s">
        <v>132</v>
      </c>
      <c r="H76" s="128"/>
      <c r="I76" s="124" t="s">
        <v>656</v>
      </c>
      <c r="J76" s="123" t="s">
        <v>42</v>
      </c>
      <c r="K76" s="123" t="s">
        <v>30</v>
      </c>
      <c r="L76" s="123" t="s">
        <v>30</v>
      </c>
      <c r="M76" s="123" t="s">
        <v>44</v>
      </c>
      <c r="N76" s="123" t="s">
        <v>45</v>
      </c>
      <c r="O76" s="123" t="s">
        <v>34</v>
      </c>
      <c r="P76" s="123" t="s">
        <v>46</v>
      </c>
      <c r="Q76" s="18" t="s">
        <v>657</v>
      </c>
      <c r="R76" s="18"/>
      <c r="S76" s="18"/>
      <c r="T76" s="125"/>
      <c r="U76" s="18">
        <f t="shared" si="1"/>
        <v>3</v>
      </c>
      <c r="V76" s="18">
        <f t="shared" si="2"/>
        <v>3</v>
      </c>
      <c r="W76" s="18" t="str">
        <f t="shared" si="3"/>
        <v>Internal</v>
      </c>
    </row>
    <row r="77">
      <c r="A77" s="123" t="s">
        <v>658</v>
      </c>
      <c r="B77" s="123" t="s">
        <v>174</v>
      </c>
      <c r="C77" s="123" t="s">
        <v>472</v>
      </c>
      <c r="D77" s="123" t="s">
        <v>627</v>
      </c>
      <c r="E77" s="123" t="s">
        <v>627</v>
      </c>
      <c r="F77" s="123" t="s">
        <v>659</v>
      </c>
      <c r="G77" s="123" t="s">
        <v>177</v>
      </c>
      <c r="H77" s="128">
        <v>45566.0</v>
      </c>
      <c r="I77" s="124" t="s">
        <v>660</v>
      </c>
      <c r="J77" s="123" t="s">
        <v>29</v>
      </c>
      <c r="K77" s="123" t="s">
        <v>30</v>
      </c>
      <c r="L77" s="123" t="s">
        <v>30</v>
      </c>
      <c r="M77" s="123" t="s">
        <v>44</v>
      </c>
      <c r="N77" s="123"/>
      <c r="O77" s="123" t="s">
        <v>300</v>
      </c>
      <c r="P77" s="123" t="s">
        <v>151</v>
      </c>
      <c r="Q77" s="18" t="s">
        <v>661</v>
      </c>
      <c r="R77" s="18" t="s">
        <v>662</v>
      </c>
      <c r="S77" s="18" t="s">
        <v>182</v>
      </c>
      <c r="T77" s="125">
        <v>46137.0</v>
      </c>
      <c r="U77" s="18">
        <f t="shared" si="1"/>
        <v>2</v>
      </c>
      <c r="V77" s="18">
        <f t="shared" si="2"/>
        <v>5</v>
      </c>
      <c r="W77" s="18" t="str">
        <f t="shared" si="3"/>
        <v>Internal</v>
      </c>
    </row>
    <row r="78">
      <c r="A78" s="123" t="s">
        <v>663</v>
      </c>
      <c r="B78" s="123" t="s">
        <v>174</v>
      </c>
      <c r="C78" s="123" t="s">
        <v>472</v>
      </c>
      <c r="D78" s="123" t="s">
        <v>627</v>
      </c>
      <c r="E78" s="123" t="s">
        <v>627</v>
      </c>
      <c r="F78" s="123" t="s">
        <v>664</v>
      </c>
      <c r="G78" s="123" t="s">
        <v>71</v>
      </c>
      <c r="H78" s="123"/>
      <c r="I78" s="124" t="s">
        <v>665</v>
      </c>
      <c r="J78" s="123" t="s">
        <v>29</v>
      </c>
      <c r="K78" s="123" t="s">
        <v>82</v>
      </c>
      <c r="L78" s="123" t="s">
        <v>103</v>
      </c>
      <c r="M78" s="123" t="s">
        <v>44</v>
      </c>
      <c r="N78" s="123" t="s">
        <v>32</v>
      </c>
      <c r="O78" s="123" t="s">
        <v>97</v>
      </c>
      <c r="P78" s="123" t="s">
        <v>46</v>
      </c>
      <c r="Q78" s="18" t="s">
        <v>666</v>
      </c>
      <c r="R78" s="18" t="s">
        <v>667</v>
      </c>
      <c r="S78" s="18" t="s">
        <v>182</v>
      </c>
      <c r="T78" s="125">
        <v>46137.0</v>
      </c>
      <c r="U78" s="18">
        <f t="shared" si="1"/>
        <v>2</v>
      </c>
      <c r="V78" s="18">
        <f t="shared" si="2"/>
        <v>5</v>
      </c>
      <c r="W78" s="18" t="str">
        <f t="shared" si="3"/>
        <v>Internal</v>
      </c>
    </row>
    <row r="79">
      <c r="A79" s="123" t="s">
        <v>668</v>
      </c>
      <c r="B79" s="123" t="s">
        <v>114</v>
      </c>
      <c r="C79" s="123" t="s">
        <v>472</v>
      </c>
      <c r="D79" s="123" t="s">
        <v>669</v>
      </c>
      <c r="E79" s="123" t="s">
        <v>627</v>
      </c>
      <c r="F79" s="123" t="s">
        <v>670</v>
      </c>
      <c r="G79" s="123" t="s">
        <v>94</v>
      </c>
      <c r="H79" s="128">
        <v>46054.0</v>
      </c>
      <c r="I79" s="124" t="s">
        <v>671</v>
      </c>
      <c r="J79" s="123" t="s">
        <v>57</v>
      </c>
      <c r="K79" s="123" t="s">
        <v>82</v>
      </c>
      <c r="L79" s="123" t="s">
        <v>150</v>
      </c>
      <c r="M79" s="123" t="s">
        <v>96</v>
      </c>
      <c r="N79" s="123"/>
      <c r="O79" s="123" t="s">
        <v>110</v>
      </c>
      <c r="P79" s="123" t="s">
        <v>151</v>
      </c>
      <c r="Q79" s="18" t="s">
        <v>672</v>
      </c>
      <c r="R79" s="18" t="s">
        <v>673</v>
      </c>
      <c r="S79" s="18" t="s">
        <v>182</v>
      </c>
      <c r="T79" s="125">
        <v>46138.0</v>
      </c>
      <c r="U79" s="18">
        <f t="shared" si="1"/>
        <v>1</v>
      </c>
      <c r="V79" s="18">
        <f t="shared" si="2"/>
        <v>4</v>
      </c>
      <c r="W79" s="18" t="str">
        <f t="shared" si="3"/>
        <v>Internal</v>
      </c>
    </row>
    <row r="80">
      <c r="A80" s="123" t="s">
        <v>674</v>
      </c>
      <c r="B80" s="123" t="s">
        <v>90</v>
      </c>
      <c r="C80" s="123" t="s">
        <v>472</v>
      </c>
      <c r="D80" s="123" t="s">
        <v>627</v>
      </c>
      <c r="E80" s="123" t="s">
        <v>627</v>
      </c>
      <c r="F80" s="123" t="s">
        <v>675</v>
      </c>
      <c r="G80" s="123" t="s">
        <v>94</v>
      </c>
      <c r="H80" s="123"/>
      <c r="I80" s="124" t="s">
        <v>676</v>
      </c>
      <c r="J80" s="123" t="s">
        <v>42</v>
      </c>
      <c r="K80" s="123" t="s">
        <v>30</v>
      </c>
      <c r="L80" s="123" t="s">
        <v>150</v>
      </c>
      <c r="M80" s="123" t="s">
        <v>45</v>
      </c>
      <c r="N80" s="123"/>
      <c r="O80" s="123" t="s">
        <v>110</v>
      </c>
      <c r="P80" s="123" t="s">
        <v>151</v>
      </c>
      <c r="Q80" s="18" t="s">
        <v>677</v>
      </c>
      <c r="R80" s="18" t="s">
        <v>624</v>
      </c>
      <c r="S80" s="18"/>
      <c r="T80" s="18"/>
      <c r="U80" s="18">
        <f t="shared" si="1"/>
        <v>3</v>
      </c>
      <c r="V80" s="18">
        <f t="shared" si="2"/>
        <v>3</v>
      </c>
      <c r="W80" s="18" t="str">
        <f t="shared" si="3"/>
        <v>Internal</v>
      </c>
    </row>
    <row r="81">
      <c r="A81" s="123" t="s">
        <v>678</v>
      </c>
      <c r="B81" s="123" t="s">
        <v>90</v>
      </c>
      <c r="C81" s="123" t="s">
        <v>472</v>
      </c>
      <c r="D81" s="123" t="s">
        <v>679</v>
      </c>
      <c r="E81" s="123" t="s">
        <v>627</v>
      </c>
      <c r="F81" s="123" t="s">
        <v>680</v>
      </c>
      <c r="G81" s="123" t="s">
        <v>132</v>
      </c>
      <c r="H81" s="123"/>
      <c r="I81" s="124" t="s">
        <v>681</v>
      </c>
      <c r="J81" s="123" t="s">
        <v>57</v>
      </c>
      <c r="K81" s="123" t="s">
        <v>30</v>
      </c>
      <c r="L81" s="123" t="s">
        <v>150</v>
      </c>
      <c r="M81" s="123" t="s">
        <v>45</v>
      </c>
      <c r="N81" s="123"/>
      <c r="O81" s="123" t="s">
        <v>97</v>
      </c>
      <c r="P81" s="123" t="s">
        <v>151</v>
      </c>
      <c r="Q81" s="18" t="s">
        <v>682</v>
      </c>
      <c r="R81" s="18" t="s">
        <v>683</v>
      </c>
      <c r="S81" s="18"/>
      <c r="T81" s="18"/>
      <c r="U81" s="18">
        <f t="shared" si="1"/>
        <v>1</v>
      </c>
      <c r="V81" s="18">
        <f t="shared" si="2"/>
        <v>3</v>
      </c>
      <c r="W81" s="18" t="str">
        <f t="shared" si="3"/>
        <v>Internal</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D48"/>
    <hyperlink r:id="rId48" ref="I48"/>
    <hyperlink r:id="rId49" ref="I49"/>
    <hyperlink r:id="rId50" ref="I50"/>
    <hyperlink r:id="rId51" ref="I51"/>
    <hyperlink r:id="rId52" ref="I52"/>
    <hyperlink r:id="rId53" ref="I53"/>
    <hyperlink r:id="rId54" ref="I54"/>
    <hyperlink r:id="rId55" ref="I55"/>
    <hyperlink r:id="rId56" ref="I56"/>
    <hyperlink r:id="rId57" ref="I57"/>
    <hyperlink r:id="rId58" ref="I58"/>
    <hyperlink r:id="rId59" ref="I59"/>
    <hyperlink r:id="rId60" ref="I60"/>
    <hyperlink r:id="rId61" ref="I61"/>
    <hyperlink r:id="rId62" ref="I62"/>
    <hyperlink r:id="rId63" ref="I63"/>
    <hyperlink r:id="rId64" ref="I64"/>
    <hyperlink r:id="rId65" ref="I65"/>
    <hyperlink r:id="rId66" ref="I66"/>
    <hyperlink r:id="rId67" ref="I67"/>
    <hyperlink r:id="rId68" ref="I68"/>
    <hyperlink r:id="rId69" ref="I69"/>
    <hyperlink r:id="rId70" ref="I70"/>
    <hyperlink r:id="rId71" ref="I71"/>
    <hyperlink r:id="rId72" ref="I72"/>
    <hyperlink r:id="rId73" ref="I73"/>
    <hyperlink r:id="rId74" ref="I74"/>
    <hyperlink r:id="rId75" ref="I75"/>
    <hyperlink r:id="rId76" ref="I76"/>
    <hyperlink r:id="rId77" ref="I77"/>
    <hyperlink r:id="rId78" ref="I78"/>
    <hyperlink r:id="rId79" ref="I79"/>
    <hyperlink r:id="rId80" ref="I80"/>
    <hyperlink r:id="rId81" ref="I81"/>
  </hyperlinks>
  <drawing r:id="rId8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hidden="1" min="4" max="4" width="14.43"/>
    <col hidden="1" min="6" max="6" width="14.43"/>
    <col hidden="1" min="8" max="9" width="14.43"/>
    <col hidden="1" min="14" max="14" width="14.43"/>
    <col hidden="1" min="17" max="20" width="14.43"/>
  </cols>
  <sheetData>
    <row r="1">
      <c r="A1" s="115" t="str">
        <f t="array" ref="A1:T111">{NEW_NYC_Coding!A4:T59; NEW_HK_Coding!A5:T59}</f>
        <v>ID</v>
      </c>
      <c r="B1" s="115" t="s">
        <v>2</v>
      </c>
      <c r="C1" s="115" t="s">
        <v>3</v>
      </c>
      <c r="D1" s="115" t="s">
        <v>4</v>
      </c>
      <c r="E1" s="115" t="s">
        <v>5</v>
      </c>
      <c r="F1" s="115" t="s">
        <v>6</v>
      </c>
      <c r="G1" s="115" t="s">
        <v>7</v>
      </c>
      <c r="H1" s="115" t="s">
        <v>8</v>
      </c>
      <c r="I1" s="115" t="s">
        <v>9</v>
      </c>
      <c r="J1" s="115" t="s">
        <v>10</v>
      </c>
      <c r="K1" s="115" t="s">
        <v>11</v>
      </c>
      <c r="L1" s="115" t="s">
        <v>12</v>
      </c>
      <c r="M1" s="115" t="s">
        <v>13</v>
      </c>
      <c r="N1" s="115" t="s">
        <v>14</v>
      </c>
      <c r="O1" s="115" t="s">
        <v>15</v>
      </c>
      <c r="P1" s="115" t="s">
        <v>16</v>
      </c>
      <c r="Q1" s="116" t="s">
        <v>17</v>
      </c>
      <c r="R1" s="116" t="s">
        <v>18</v>
      </c>
      <c r="S1" s="116" t="s">
        <v>19</v>
      </c>
      <c r="T1" s="116" t="s">
        <v>20</v>
      </c>
      <c r="U1" s="116" t="s">
        <v>999</v>
      </c>
      <c r="V1" s="116" t="s">
        <v>1000</v>
      </c>
      <c r="W1" s="116" t="s">
        <v>1001</v>
      </c>
      <c r="X1" s="116"/>
      <c r="Y1" s="116"/>
      <c r="Z1" s="116"/>
      <c r="AA1" s="116"/>
    </row>
    <row r="2">
      <c r="A2" s="117" t="s">
        <v>22</v>
      </c>
      <c r="B2" s="117" t="s">
        <v>23</v>
      </c>
      <c r="C2" s="117" t="s">
        <v>24</v>
      </c>
      <c r="D2" s="117" t="s">
        <v>268</v>
      </c>
      <c r="E2" s="117"/>
      <c r="F2" s="117" t="s">
        <v>269</v>
      </c>
      <c r="G2" s="117" t="s">
        <v>51</v>
      </c>
      <c r="H2" s="130">
        <v>46376.0</v>
      </c>
      <c r="I2" s="119" t="s">
        <v>270</v>
      </c>
      <c r="J2" s="117" t="s">
        <v>29</v>
      </c>
      <c r="K2" s="117" t="s">
        <v>30</v>
      </c>
      <c r="L2" s="117" t="s">
        <v>31</v>
      </c>
      <c r="M2" s="117" t="s">
        <v>33</v>
      </c>
      <c r="N2" s="117" t="s">
        <v>45</v>
      </c>
      <c r="O2" s="117" t="s">
        <v>34</v>
      </c>
      <c r="P2" s="117" t="s">
        <v>271</v>
      </c>
      <c r="Q2" s="18" t="s">
        <v>272</v>
      </c>
      <c r="R2" s="18"/>
      <c r="S2" s="18" t="s">
        <v>37</v>
      </c>
      <c r="T2" s="120">
        <v>46157.0</v>
      </c>
      <c r="U2" s="18">
        <f t="shared" ref="U2:U111" si="1">IFS($J2="Prohibitive", 0, $J2="Cautious", 1, $J2="Functional", 2, $J2="Encouraging", 3)</f>
        <v>2</v>
      </c>
      <c r="V2" s="18">
        <f t="shared" ref="V2:V111" si="2">IFS($B2="National/Federal", 1, $B2="City/Territory", 2, $B2="Institutional", 3, $B2="Faculty/Department", 4, $B2="Course-wide", 5)</f>
        <v>1</v>
      </c>
      <c r="W2" s="18" t="str">
        <f t="shared" ref="W2:W111" si="3">IF($V2&gt;=3,"Internal","External")</f>
        <v>External</v>
      </c>
    </row>
    <row r="3">
      <c r="A3" s="117" t="s">
        <v>38</v>
      </c>
      <c r="B3" s="117" t="s">
        <v>23</v>
      </c>
      <c r="C3" s="117" t="s">
        <v>24</v>
      </c>
      <c r="D3" s="117" t="s">
        <v>268</v>
      </c>
      <c r="E3" s="117"/>
      <c r="F3" s="117" t="s">
        <v>273</v>
      </c>
      <c r="G3" s="117" t="s">
        <v>51</v>
      </c>
      <c r="H3" s="130">
        <v>45973.0</v>
      </c>
      <c r="I3" s="119" t="s">
        <v>274</v>
      </c>
      <c r="J3" s="117" t="s">
        <v>42</v>
      </c>
      <c r="K3" s="117" t="s">
        <v>30</v>
      </c>
      <c r="L3" s="117" t="s">
        <v>31</v>
      </c>
      <c r="M3" s="117" t="s">
        <v>33</v>
      </c>
      <c r="N3" s="117" t="s">
        <v>45</v>
      </c>
      <c r="O3" s="117" t="s">
        <v>34</v>
      </c>
      <c r="P3" s="117" t="s">
        <v>271</v>
      </c>
      <c r="Q3" s="18" t="s">
        <v>275</v>
      </c>
      <c r="R3" s="18"/>
      <c r="S3" s="18" t="s">
        <v>37</v>
      </c>
      <c r="T3" s="120">
        <v>46157.0</v>
      </c>
      <c r="U3" s="18">
        <f t="shared" si="1"/>
        <v>3</v>
      </c>
      <c r="V3" s="18">
        <f t="shared" si="2"/>
        <v>1</v>
      </c>
      <c r="W3" s="18" t="str">
        <f t="shared" si="3"/>
        <v>External</v>
      </c>
    </row>
    <row r="4">
      <c r="A4" s="117" t="s">
        <v>48</v>
      </c>
      <c r="B4" s="117" t="s">
        <v>23</v>
      </c>
      <c r="C4" s="117" t="s">
        <v>24</v>
      </c>
      <c r="D4" s="117" t="s">
        <v>276</v>
      </c>
      <c r="E4" s="117"/>
      <c r="F4" s="117" t="s">
        <v>277</v>
      </c>
      <c r="G4" s="117" t="s">
        <v>278</v>
      </c>
      <c r="H4" s="130">
        <v>45942.0</v>
      </c>
      <c r="I4" s="119" t="s">
        <v>279</v>
      </c>
      <c r="J4" s="117" t="s">
        <v>57</v>
      </c>
      <c r="K4" s="117" t="s">
        <v>82</v>
      </c>
      <c r="L4" s="117" t="s">
        <v>31</v>
      </c>
      <c r="M4" s="117" t="s">
        <v>32</v>
      </c>
      <c r="N4" s="117" t="s">
        <v>96</v>
      </c>
      <c r="O4" s="117" t="s">
        <v>97</v>
      </c>
      <c r="P4" s="117" t="s">
        <v>271</v>
      </c>
      <c r="Q4" s="18" t="s">
        <v>280</v>
      </c>
      <c r="R4" s="18"/>
      <c r="S4" s="18" t="s">
        <v>37</v>
      </c>
      <c r="T4" s="120">
        <v>46157.0</v>
      </c>
      <c r="U4" s="18">
        <f t="shared" si="1"/>
        <v>1</v>
      </c>
      <c r="V4" s="18">
        <f t="shared" si="2"/>
        <v>1</v>
      </c>
      <c r="W4" s="18" t="str">
        <f t="shared" si="3"/>
        <v>External</v>
      </c>
    </row>
    <row r="5">
      <c r="A5" s="117" t="s">
        <v>54</v>
      </c>
      <c r="B5" s="117" t="s">
        <v>23</v>
      </c>
      <c r="C5" s="117" t="s">
        <v>24</v>
      </c>
      <c r="D5" s="117" t="s">
        <v>268</v>
      </c>
      <c r="E5" s="117"/>
      <c r="F5" s="117" t="s">
        <v>281</v>
      </c>
      <c r="G5" s="117" t="s">
        <v>51</v>
      </c>
      <c r="H5" s="130">
        <v>45770.0</v>
      </c>
      <c r="I5" s="119" t="s">
        <v>282</v>
      </c>
      <c r="J5" s="117" t="s">
        <v>42</v>
      </c>
      <c r="K5" s="117" t="s">
        <v>30</v>
      </c>
      <c r="L5" s="117" t="s">
        <v>31</v>
      </c>
      <c r="M5" s="117" t="s">
        <v>33</v>
      </c>
      <c r="N5" s="117" t="s">
        <v>44</v>
      </c>
      <c r="O5" s="117" t="s">
        <v>34</v>
      </c>
      <c r="P5" s="117" t="s">
        <v>271</v>
      </c>
      <c r="Q5" s="18" t="s">
        <v>283</v>
      </c>
      <c r="R5" s="18"/>
      <c r="S5" s="18" t="s">
        <v>37</v>
      </c>
      <c r="T5" s="120">
        <v>46157.0</v>
      </c>
      <c r="U5" s="18">
        <f t="shared" si="1"/>
        <v>3</v>
      </c>
      <c r="V5" s="18">
        <f t="shared" si="2"/>
        <v>1</v>
      </c>
      <c r="W5" s="18" t="str">
        <f t="shared" si="3"/>
        <v>External</v>
      </c>
    </row>
    <row r="6">
      <c r="A6" s="117" t="s">
        <v>61</v>
      </c>
      <c r="B6" s="117" t="s">
        <v>23</v>
      </c>
      <c r="C6" s="117" t="s">
        <v>24</v>
      </c>
      <c r="D6" s="117" t="s">
        <v>268</v>
      </c>
      <c r="E6" s="117"/>
      <c r="F6" s="117" t="s">
        <v>284</v>
      </c>
      <c r="G6" s="117" t="s">
        <v>51</v>
      </c>
      <c r="H6" s="130">
        <v>46002.0</v>
      </c>
      <c r="I6" s="119" t="s">
        <v>274</v>
      </c>
      <c r="J6" s="117" t="s">
        <v>42</v>
      </c>
      <c r="K6" s="117" t="s">
        <v>30</v>
      </c>
      <c r="L6" s="117" t="s">
        <v>31</v>
      </c>
      <c r="M6" s="117" t="s">
        <v>33</v>
      </c>
      <c r="N6" s="117" t="s">
        <v>32</v>
      </c>
      <c r="O6" s="117" t="s">
        <v>110</v>
      </c>
      <c r="P6" s="117" t="s">
        <v>271</v>
      </c>
      <c r="Q6" s="18" t="s">
        <v>285</v>
      </c>
      <c r="R6" s="18"/>
      <c r="S6" s="18" t="s">
        <v>37</v>
      </c>
      <c r="T6" s="120">
        <v>46157.0</v>
      </c>
      <c r="U6" s="18">
        <f t="shared" si="1"/>
        <v>3</v>
      </c>
      <c r="V6" s="18">
        <f t="shared" si="2"/>
        <v>1</v>
      </c>
      <c r="W6" s="18" t="str">
        <f t="shared" si="3"/>
        <v>External</v>
      </c>
    </row>
    <row r="7">
      <c r="A7" s="117" t="s">
        <v>67</v>
      </c>
      <c r="B7" s="117" t="s">
        <v>286</v>
      </c>
      <c r="C7" s="117" t="s">
        <v>24</v>
      </c>
      <c r="D7" s="117" t="s">
        <v>287</v>
      </c>
      <c r="E7" s="117" t="s">
        <v>288</v>
      </c>
      <c r="F7" s="117" t="s">
        <v>80</v>
      </c>
      <c r="G7" s="117" t="s">
        <v>27</v>
      </c>
      <c r="H7" s="117" t="s">
        <v>289</v>
      </c>
      <c r="I7" s="119" t="s">
        <v>81</v>
      </c>
      <c r="J7" s="117" t="s">
        <v>57</v>
      </c>
      <c r="K7" s="117" t="s">
        <v>82</v>
      </c>
      <c r="L7" s="117" t="s">
        <v>31</v>
      </c>
      <c r="M7" s="117" t="s">
        <v>32</v>
      </c>
      <c r="N7" s="117" t="s">
        <v>45</v>
      </c>
      <c r="O7" s="117" t="s">
        <v>34</v>
      </c>
      <c r="P7" s="117" t="s">
        <v>271</v>
      </c>
      <c r="Q7" s="18" t="s">
        <v>83</v>
      </c>
      <c r="R7" s="18"/>
      <c r="S7" s="18" t="s">
        <v>37</v>
      </c>
      <c r="T7" s="120"/>
      <c r="U7" s="18">
        <f t="shared" si="1"/>
        <v>1</v>
      </c>
      <c r="V7" s="18">
        <f t="shared" si="2"/>
        <v>2</v>
      </c>
      <c r="W7" s="18" t="str">
        <f t="shared" si="3"/>
        <v>External</v>
      </c>
    </row>
    <row r="8">
      <c r="A8" s="117" t="s">
        <v>74</v>
      </c>
      <c r="B8" s="117" t="s">
        <v>286</v>
      </c>
      <c r="C8" s="117" t="s">
        <v>24</v>
      </c>
      <c r="D8" s="117" t="s">
        <v>290</v>
      </c>
      <c r="E8" s="117" t="s">
        <v>288</v>
      </c>
      <c r="F8" s="117" t="s">
        <v>291</v>
      </c>
      <c r="G8" s="117" t="s">
        <v>27</v>
      </c>
      <c r="H8" s="130">
        <v>45352.0</v>
      </c>
      <c r="I8" s="119" t="s">
        <v>292</v>
      </c>
      <c r="J8" s="117" t="s">
        <v>57</v>
      </c>
      <c r="K8" s="117" t="s">
        <v>82</v>
      </c>
      <c r="L8" s="117" t="s">
        <v>31</v>
      </c>
      <c r="M8" s="117" t="s">
        <v>32</v>
      </c>
      <c r="N8" s="117" t="s">
        <v>45</v>
      </c>
      <c r="O8" s="117" t="s">
        <v>97</v>
      </c>
      <c r="P8" s="117" t="s">
        <v>271</v>
      </c>
      <c r="Q8" s="18" t="s">
        <v>293</v>
      </c>
      <c r="R8" s="18"/>
      <c r="S8" s="18" t="s">
        <v>37</v>
      </c>
      <c r="T8" s="120"/>
      <c r="U8" s="18">
        <f t="shared" si="1"/>
        <v>1</v>
      </c>
      <c r="V8" s="18">
        <f t="shared" si="2"/>
        <v>2</v>
      </c>
      <c r="W8" s="18" t="str">
        <f t="shared" si="3"/>
        <v>External</v>
      </c>
    </row>
    <row r="9">
      <c r="A9" s="117" t="s">
        <v>79</v>
      </c>
      <c r="B9" s="117" t="s">
        <v>286</v>
      </c>
      <c r="C9" s="117" t="s">
        <v>24</v>
      </c>
      <c r="D9" s="117" t="s">
        <v>294</v>
      </c>
      <c r="E9" s="117" t="s">
        <v>288</v>
      </c>
      <c r="F9" s="117" t="s">
        <v>295</v>
      </c>
      <c r="G9" s="117" t="s">
        <v>27</v>
      </c>
      <c r="H9" s="130"/>
      <c r="I9" s="119" t="s">
        <v>296</v>
      </c>
      <c r="J9" s="117" t="s">
        <v>57</v>
      </c>
      <c r="K9" s="117" t="s">
        <v>30</v>
      </c>
      <c r="L9" s="117" t="s">
        <v>31</v>
      </c>
      <c r="M9" s="117" t="s">
        <v>32</v>
      </c>
      <c r="N9" s="117" t="s">
        <v>45</v>
      </c>
      <c r="O9" s="117" t="s">
        <v>34</v>
      </c>
      <c r="P9" s="117" t="s">
        <v>271</v>
      </c>
      <c r="Q9" s="18" t="s">
        <v>297</v>
      </c>
      <c r="R9" s="18"/>
      <c r="S9" s="18" t="s">
        <v>37</v>
      </c>
      <c r="T9" s="120"/>
      <c r="U9" s="18">
        <f t="shared" si="1"/>
        <v>1</v>
      </c>
      <c r="V9" s="18">
        <f t="shared" si="2"/>
        <v>2</v>
      </c>
      <c r="W9" s="18" t="str">
        <f t="shared" si="3"/>
        <v>External</v>
      </c>
    </row>
    <row r="10">
      <c r="A10" s="117" t="s">
        <v>84</v>
      </c>
      <c r="B10" s="117" t="s">
        <v>286</v>
      </c>
      <c r="C10" s="117" t="s">
        <v>24</v>
      </c>
      <c r="D10" s="117" t="s">
        <v>294</v>
      </c>
      <c r="E10" s="117" t="s">
        <v>288</v>
      </c>
      <c r="F10" s="117" t="s">
        <v>298</v>
      </c>
      <c r="G10" s="117" t="s">
        <v>71</v>
      </c>
      <c r="H10" s="130">
        <v>45946.0</v>
      </c>
      <c r="I10" s="119" t="s">
        <v>299</v>
      </c>
      <c r="J10" s="117" t="s">
        <v>57</v>
      </c>
      <c r="K10" s="117" t="s">
        <v>30</v>
      </c>
      <c r="L10" s="117" t="s">
        <v>31</v>
      </c>
      <c r="M10" s="117" t="s">
        <v>32</v>
      </c>
      <c r="N10" s="117" t="s">
        <v>45</v>
      </c>
      <c r="O10" s="117" t="s">
        <v>300</v>
      </c>
      <c r="P10" s="117" t="s">
        <v>271</v>
      </c>
      <c r="Q10" s="18" t="s">
        <v>301</v>
      </c>
      <c r="R10" s="18"/>
      <c r="S10" s="18" t="s">
        <v>37</v>
      </c>
      <c r="T10" s="120"/>
      <c r="U10" s="18">
        <f t="shared" si="1"/>
        <v>1</v>
      </c>
      <c r="V10" s="18">
        <f t="shared" si="2"/>
        <v>2</v>
      </c>
      <c r="W10" s="18" t="str">
        <f t="shared" si="3"/>
        <v>External</v>
      </c>
    </row>
    <row r="11">
      <c r="A11" s="117" t="s">
        <v>89</v>
      </c>
      <c r="B11" s="117" t="s">
        <v>286</v>
      </c>
      <c r="C11" s="117" t="s">
        <v>24</v>
      </c>
      <c r="D11" s="117" t="s">
        <v>302</v>
      </c>
      <c r="E11" s="117" t="s">
        <v>303</v>
      </c>
      <c r="F11" s="117" t="s">
        <v>304</v>
      </c>
      <c r="G11" s="117" t="s">
        <v>71</v>
      </c>
      <c r="H11" s="130">
        <v>46082.0</v>
      </c>
      <c r="I11" s="119" t="s">
        <v>305</v>
      </c>
      <c r="J11" s="117" t="s">
        <v>57</v>
      </c>
      <c r="K11" s="117" t="s">
        <v>82</v>
      </c>
      <c r="L11" s="117" t="s">
        <v>306</v>
      </c>
      <c r="M11" s="117" t="s">
        <v>45</v>
      </c>
      <c r="N11" s="117" t="s">
        <v>44</v>
      </c>
      <c r="O11" s="117" t="s">
        <v>97</v>
      </c>
      <c r="P11" s="117" t="s">
        <v>271</v>
      </c>
      <c r="Q11" s="18" t="s">
        <v>307</v>
      </c>
      <c r="R11" s="18"/>
      <c r="S11" s="18" t="s">
        <v>37</v>
      </c>
      <c r="T11" s="120"/>
      <c r="U11" s="18">
        <f t="shared" si="1"/>
        <v>1</v>
      </c>
      <c r="V11" s="18">
        <f t="shared" si="2"/>
        <v>2</v>
      </c>
      <c r="W11" s="18" t="str">
        <f t="shared" si="3"/>
        <v>External</v>
      </c>
    </row>
    <row r="12">
      <c r="A12" s="117" t="s">
        <v>99</v>
      </c>
      <c r="B12" s="117" t="s">
        <v>90</v>
      </c>
      <c r="C12" s="117" t="s">
        <v>24</v>
      </c>
      <c r="D12" s="117" t="s">
        <v>106</v>
      </c>
      <c r="E12" s="117" t="s">
        <v>107</v>
      </c>
      <c r="F12" s="117" t="s">
        <v>308</v>
      </c>
      <c r="G12" s="117" t="s">
        <v>132</v>
      </c>
      <c r="H12" s="130"/>
      <c r="I12" s="119" t="s">
        <v>309</v>
      </c>
      <c r="J12" s="117" t="s">
        <v>29</v>
      </c>
      <c r="K12" s="117" t="s">
        <v>30</v>
      </c>
      <c r="L12" s="117" t="s">
        <v>30</v>
      </c>
      <c r="M12" s="117" t="s">
        <v>45</v>
      </c>
      <c r="N12" s="117" t="s">
        <v>32</v>
      </c>
      <c r="O12" s="117" t="s">
        <v>34</v>
      </c>
      <c r="P12" s="117" t="s">
        <v>271</v>
      </c>
      <c r="Q12" s="18" t="s">
        <v>310</v>
      </c>
      <c r="R12" s="18"/>
      <c r="S12" s="18" t="s">
        <v>37</v>
      </c>
      <c r="T12" s="120"/>
      <c r="U12" s="18">
        <f t="shared" si="1"/>
        <v>2</v>
      </c>
      <c r="V12" s="18">
        <f t="shared" si="2"/>
        <v>3</v>
      </c>
      <c r="W12" s="18" t="str">
        <f t="shared" si="3"/>
        <v>Internal</v>
      </c>
    </row>
    <row r="13">
      <c r="A13" s="117" t="s">
        <v>105</v>
      </c>
      <c r="B13" s="117" t="s">
        <v>90</v>
      </c>
      <c r="C13" s="117" t="s">
        <v>24</v>
      </c>
      <c r="D13" s="117" t="s">
        <v>106</v>
      </c>
      <c r="E13" s="117" t="s">
        <v>107</v>
      </c>
      <c r="F13" s="117" t="s">
        <v>311</v>
      </c>
      <c r="G13" s="117" t="s">
        <v>132</v>
      </c>
      <c r="H13" s="130"/>
      <c r="I13" s="119" t="s">
        <v>312</v>
      </c>
      <c r="J13" s="117" t="s">
        <v>29</v>
      </c>
      <c r="K13" s="117" t="s">
        <v>58</v>
      </c>
      <c r="L13" s="117" t="s">
        <v>313</v>
      </c>
      <c r="M13" s="117" t="s">
        <v>45</v>
      </c>
      <c r="N13" s="117" t="s">
        <v>44</v>
      </c>
      <c r="O13" s="117" t="s">
        <v>34</v>
      </c>
      <c r="P13" s="117" t="s">
        <v>314</v>
      </c>
      <c r="Q13" s="18" t="s">
        <v>315</v>
      </c>
      <c r="R13" s="18"/>
      <c r="S13" s="18" t="s">
        <v>37</v>
      </c>
      <c r="T13" s="120"/>
      <c r="U13" s="18">
        <f t="shared" si="1"/>
        <v>2</v>
      </c>
      <c r="V13" s="18">
        <f t="shared" si="2"/>
        <v>3</v>
      </c>
      <c r="W13" s="18" t="str">
        <f t="shared" si="3"/>
        <v>Internal</v>
      </c>
    </row>
    <row r="14">
      <c r="A14" s="117" t="s">
        <v>113</v>
      </c>
      <c r="B14" s="117" t="s">
        <v>90</v>
      </c>
      <c r="C14" s="117" t="s">
        <v>24</v>
      </c>
      <c r="D14" s="117" t="s">
        <v>106</v>
      </c>
      <c r="E14" s="117" t="s">
        <v>107</v>
      </c>
      <c r="F14" s="117" t="s">
        <v>316</v>
      </c>
      <c r="G14" s="117" t="s">
        <v>94</v>
      </c>
      <c r="H14" s="130"/>
      <c r="I14" s="119" t="s">
        <v>317</v>
      </c>
      <c r="J14" s="117" t="s">
        <v>29</v>
      </c>
      <c r="K14" s="117" t="s">
        <v>58</v>
      </c>
      <c r="L14" s="117" t="s">
        <v>103</v>
      </c>
      <c r="M14" s="117" t="s">
        <v>45</v>
      </c>
      <c r="N14" s="117" t="s">
        <v>96</v>
      </c>
      <c r="O14" s="117" t="s">
        <v>97</v>
      </c>
      <c r="P14" s="117" t="s">
        <v>111</v>
      </c>
      <c r="Q14" s="18" t="s">
        <v>134</v>
      </c>
      <c r="R14" s="18"/>
      <c r="S14" s="18" t="s">
        <v>37</v>
      </c>
      <c r="T14" s="120"/>
      <c r="U14" s="18">
        <f t="shared" si="1"/>
        <v>2</v>
      </c>
      <c r="V14" s="18">
        <f t="shared" si="2"/>
        <v>3</v>
      </c>
      <c r="W14" s="18" t="str">
        <f t="shared" si="3"/>
        <v>Internal</v>
      </c>
    </row>
    <row r="15">
      <c r="A15" s="117" t="s">
        <v>118</v>
      </c>
      <c r="B15" s="117" t="s">
        <v>90</v>
      </c>
      <c r="C15" s="117" t="s">
        <v>24</v>
      </c>
      <c r="D15" s="117" t="s">
        <v>106</v>
      </c>
      <c r="E15" s="117" t="s">
        <v>107</v>
      </c>
      <c r="F15" s="117" t="s">
        <v>318</v>
      </c>
      <c r="G15" s="117" t="s">
        <v>132</v>
      </c>
      <c r="H15" s="130">
        <v>45708.0</v>
      </c>
      <c r="I15" s="119" t="s">
        <v>109</v>
      </c>
      <c r="J15" s="117" t="s">
        <v>29</v>
      </c>
      <c r="K15" s="117" t="s">
        <v>58</v>
      </c>
      <c r="L15" s="117" t="s">
        <v>103</v>
      </c>
      <c r="M15" s="117" t="s">
        <v>44</v>
      </c>
      <c r="N15" s="117" t="s">
        <v>96</v>
      </c>
      <c r="O15" s="117" t="s">
        <v>34</v>
      </c>
      <c r="P15" s="117" t="s">
        <v>111</v>
      </c>
      <c r="Q15" s="18" t="s">
        <v>112</v>
      </c>
      <c r="R15" s="18"/>
      <c r="S15" s="18" t="s">
        <v>37</v>
      </c>
      <c r="T15" s="120"/>
      <c r="U15" s="18">
        <f t="shared" si="1"/>
        <v>2</v>
      </c>
      <c r="V15" s="18">
        <f t="shared" si="2"/>
        <v>3</v>
      </c>
      <c r="W15" s="18" t="str">
        <f t="shared" si="3"/>
        <v>Internal</v>
      </c>
    </row>
    <row r="16">
      <c r="A16" s="117" t="s">
        <v>124</v>
      </c>
      <c r="B16" s="117" t="s">
        <v>90</v>
      </c>
      <c r="C16" s="117" t="s">
        <v>24</v>
      </c>
      <c r="D16" s="117" t="s">
        <v>106</v>
      </c>
      <c r="E16" s="117" t="s">
        <v>107</v>
      </c>
      <c r="F16" s="117" t="s">
        <v>319</v>
      </c>
      <c r="G16" s="117" t="s">
        <v>132</v>
      </c>
      <c r="H16" s="130"/>
      <c r="I16" s="119" t="s">
        <v>320</v>
      </c>
      <c r="J16" s="117" t="s">
        <v>42</v>
      </c>
      <c r="K16" s="117" t="s">
        <v>30</v>
      </c>
      <c r="L16" s="117" t="s">
        <v>313</v>
      </c>
      <c r="M16" s="117" t="s">
        <v>45</v>
      </c>
      <c r="N16" s="117" t="s">
        <v>44</v>
      </c>
      <c r="O16" s="117" t="s">
        <v>34</v>
      </c>
      <c r="P16" s="117" t="s">
        <v>271</v>
      </c>
      <c r="Q16" s="18" t="s">
        <v>321</v>
      </c>
      <c r="R16" s="18"/>
      <c r="S16" s="18" t="s">
        <v>37</v>
      </c>
      <c r="T16" s="120"/>
      <c r="U16" s="18">
        <f t="shared" si="1"/>
        <v>3</v>
      </c>
      <c r="V16" s="18">
        <f t="shared" si="2"/>
        <v>3</v>
      </c>
      <c r="W16" s="18" t="str">
        <f t="shared" si="3"/>
        <v>Internal</v>
      </c>
    </row>
    <row r="17">
      <c r="A17" s="117" t="s">
        <v>129</v>
      </c>
      <c r="B17" s="117" t="s">
        <v>90</v>
      </c>
      <c r="C17" s="117" t="s">
        <v>24</v>
      </c>
      <c r="D17" s="117" t="s">
        <v>322</v>
      </c>
      <c r="E17" s="117" t="s">
        <v>137</v>
      </c>
      <c r="F17" s="117" t="s">
        <v>323</v>
      </c>
      <c r="G17" s="117" t="s">
        <v>94</v>
      </c>
      <c r="H17" s="117">
        <v>2025.0</v>
      </c>
      <c r="I17" s="119" t="s">
        <v>139</v>
      </c>
      <c r="J17" s="117" t="s">
        <v>42</v>
      </c>
      <c r="K17" s="117" t="s">
        <v>30</v>
      </c>
      <c r="L17" s="117" t="s">
        <v>30</v>
      </c>
      <c r="M17" s="117" t="s">
        <v>45</v>
      </c>
      <c r="N17" s="117" t="s">
        <v>33</v>
      </c>
      <c r="O17" s="117" t="s">
        <v>34</v>
      </c>
      <c r="P17" s="117" t="s">
        <v>314</v>
      </c>
      <c r="Q17" s="18" t="s">
        <v>140</v>
      </c>
      <c r="R17" s="18"/>
      <c r="S17" s="18" t="s">
        <v>37</v>
      </c>
      <c r="T17" s="120"/>
      <c r="U17" s="18">
        <f t="shared" si="1"/>
        <v>3</v>
      </c>
      <c r="V17" s="18">
        <f t="shared" si="2"/>
        <v>3</v>
      </c>
      <c r="W17" s="18" t="str">
        <f t="shared" si="3"/>
        <v>Internal</v>
      </c>
    </row>
    <row r="18">
      <c r="A18" s="117" t="s">
        <v>135</v>
      </c>
      <c r="B18" s="117" t="s">
        <v>90</v>
      </c>
      <c r="C18" s="117" t="s">
        <v>24</v>
      </c>
      <c r="D18" s="117" t="s">
        <v>322</v>
      </c>
      <c r="E18" s="117" t="s">
        <v>137</v>
      </c>
      <c r="F18" s="117" t="s">
        <v>324</v>
      </c>
      <c r="G18" s="117" t="s">
        <v>132</v>
      </c>
      <c r="H18" s="130"/>
      <c r="I18" s="119" t="s">
        <v>325</v>
      </c>
      <c r="J18" s="117" t="s">
        <v>57</v>
      </c>
      <c r="K18" s="117" t="s">
        <v>58</v>
      </c>
      <c r="L18" s="117" t="s">
        <v>103</v>
      </c>
      <c r="M18" s="117" t="s">
        <v>45</v>
      </c>
      <c r="N18" s="117" t="s">
        <v>44</v>
      </c>
      <c r="O18" s="117" t="s">
        <v>34</v>
      </c>
      <c r="P18" s="117" t="s">
        <v>314</v>
      </c>
      <c r="Q18" s="18" t="s">
        <v>326</v>
      </c>
      <c r="R18" s="18"/>
      <c r="S18" s="18" t="s">
        <v>37</v>
      </c>
      <c r="T18" s="120"/>
      <c r="U18" s="18">
        <f t="shared" si="1"/>
        <v>1</v>
      </c>
      <c r="V18" s="18">
        <f t="shared" si="2"/>
        <v>3</v>
      </c>
      <c r="W18" s="18" t="str">
        <f t="shared" si="3"/>
        <v>Internal</v>
      </c>
    </row>
    <row r="19">
      <c r="A19" s="117" t="s">
        <v>141</v>
      </c>
      <c r="B19" s="117" t="s">
        <v>90</v>
      </c>
      <c r="C19" s="117" t="s">
        <v>24</v>
      </c>
      <c r="D19" s="117" t="s">
        <v>322</v>
      </c>
      <c r="E19" s="117" t="s">
        <v>137</v>
      </c>
      <c r="F19" s="117" t="s">
        <v>327</v>
      </c>
      <c r="G19" s="117" t="s">
        <v>94</v>
      </c>
      <c r="H19" s="117">
        <v>2024.0</v>
      </c>
      <c r="I19" s="119" t="s">
        <v>328</v>
      </c>
      <c r="J19" s="117" t="s">
        <v>57</v>
      </c>
      <c r="K19" s="117" t="s">
        <v>82</v>
      </c>
      <c r="L19" s="117" t="s">
        <v>306</v>
      </c>
      <c r="M19" s="117" t="s">
        <v>96</v>
      </c>
      <c r="N19" s="117" t="s">
        <v>45</v>
      </c>
      <c r="O19" s="117" t="s">
        <v>110</v>
      </c>
      <c r="P19" s="117" t="s">
        <v>314</v>
      </c>
      <c r="Q19" s="18" t="s">
        <v>329</v>
      </c>
      <c r="R19" s="18"/>
      <c r="S19" s="18" t="s">
        <v>37</v>
      </c>
      <c r="T19" s="120"/>
      <c r="U19" s="18">
        <f t="shared" si="1"/>
        <v>1</v>
      </c>
      <c r="V19" s="18">
        <f t="shared" si="2"/>
        <v>3</v>
      </c>
      <c r="W19" s="18" t="str">
        <f t="shared" si="3"/>
        <v>Internal</v>
      </c>
    </row>
    <row r="20">
      <c r="A20" s="117" t="s">
        <v>146</v>
      </c>
      <c r="B20" s="117" t="s">
        <v>90</v>
      </c>
      <c r="C20" s="117" t="s">
        <v>24</v>
      </c>
      <c r="D20" s="117" t="s">
        <v>322</v>
      </c>
      <c r="E20" s="117" t="s">
        <v>137</v>
      </c>
      <c r="F20" s="117" t="s">
        <v>155</v>
      </c>
      <c r="G20" s="117" t="s">
        <v>132</v>
      </c>
      <c r="H20" s="130">
        <v>45930.0</v>
      </c>
      <c r="I20" s="119" t="s">
        <v>156</v>
      </c>
      <c r="J20" s="117" t="s">
        <v>42</v>
      </c>
      <c r="K20" s="117" t="s">
        <v>82</v>
      </c>
      <c r="L20" s="117" t="s">
        <v>103</v>
      </c>
      <c r="M20" s="117" t="s">
        <v>45</v>
      </c>
      <c r="N20" s="117" t="s">
        <v>44</v>
      </c>
      <c r="O20" s="117" t="s">
        <v>300</v>
      </c>
      <c r="P20" s="117" t="s">
        <v>314</v>
      </c>
      <c r="Q20" s="18" t="s">
        <v>330</v>
      </c>
      <c r="R20" s="18"/>
      <c r="S20" s="18" t="s">
        <v>37</v>
      </c>
      <c r="T20" s="120"/>
      <c r="U20" s="18">
        <f t="shared" si="1"/>
        <v>3</v>
      </c>
      <c r="V20" s="18">
        <f t="shared" si="2"/>
        <v>3</v>
      </c>
      <c r="W20" s="18" t="str">
        <f t="shared" si="3"/>
        <v>Internal</v>
      </c>
    </row>
    <row r="21">
      <c r="A21" s="117" t="s">
        <v>153</v>
      </c>
      <c r="B21" s="117" t="s">
        <v>90</v>
      </c>
      <c r="C21" s="117" t="s">
        <v>24</v>
      </c>
      <c r="D21" s="117" t="s">
        <v>331</v>
      </c>
      <c r="E21" s="117" t="s">
        <v>137</v>
      </c>
      <c r="F21" s="117" t="s">
        <v>332</v>
      </c>
      <c r="G21" s="117" t="s">
        <v>132</v>
      </c>
      <c r="H21" s="117" t="s">
        <v>333</v>
      </c>
      <c r="I21" s="119" t="s">
        <v>334</v>
      </c>
      <c r="J21" s="117" t="s">
        <v>42</v>
      </c>
      <c r="K21" s="117" t="s">
        <v>30</v>
      </c>
      <c r="L21" s="117" t="s">
        <v>103</v>
      </c>
      <c r="M21" s="117" t="s">
        <v>45</v>
      </c>
      <c r="N21" s="117" t="s">
        <v>33</v>
      </c>
      <c r="O21" s="117" t="s">
        <v>300</v>
      </c>
      <c r="P21" s="117" t="s">
        <v>314</v>
      </c>
      <c r="Q21" s="18" t="s">
        <v>335</v>
      </c>
      <c r="R21" s="18"/>
      <c r="S21" s="18" t="s">
        <v>37</v>
      </c>
      <c r="T21" s="120"/>
      <c r="U21" s="18">
        <f t="shared" si="1"/>
        <v>3</v>
      </c>
      <c r="V21" s="18">
        <f t="shared" si="2"/>
        <v>3</v>
      </c>
      <c r="W21" s="18" t="str">
        <f t="shared" si="3"/>
        <v>Internal</v>
      </c>
    </row>
    <row r="22">
      <c r="A22" s="117" t="s">
        <v>158</v>
      </c>
      <c r="B22" s="117" t="s">
        <v>90</v>
      </c>
      <c r="C22" s="117" t="s">
        <v>24</v>
      </c>
      <c r="D22" s="117" t="s">
        <v>336</v>
      </c>
      <c r="E22" s="117" t="s">
        <v>92</v>
      </c>
      <c r="F22" s="117" t="s">
        <v>337</v>
      </c>
      <c r="G22" s="117" t="s">
        <v>94</v>
      </c>
      <c r="H22" s="130"/>
      <c r="I22" s="119" t="s">
        <v>338</v>
      </c>
      <c r="J22" s="117" t="s">
        <v>57</v>
      </c>
      <c r="K22" s="117" t="s">
        <v>82</v>
      </c>
      <c r="L22" s="117" t="s">
        <v>306</v>
      </c>
      <c r="M22" s="117" t="s">
        <v>32</v>
      </c>
      <c r="N22" s="117" t="s">
        <v>96</v>
      </c>
      <c r="O22" s="117" t="s">
        <v>97</v>
      </c>
      <c r="P22" s="117" t="s">
        <v>271</v>
      </c>
      <c r="Q22" s="18" t="s">
        <v>339</v>
      </c>
      <c r="R22" s="18"/>
      <c r="S22" s="18" t="s">
        <v>37</v>
      </c>
      <c r="T22" s="120"/>
      <c r="U22" s="18">
        <f t="shared" si="1"/>
        <v>1</v>
      </c>
      <c r="V22" s="18">
        <f t="shared" si="2"/>
        <v>3</v>
      </c>
      <c r="W22" s="18" t="str">
        <f t="shared" si="3"/>
        <v>Internal</v>
      </c>
    </row>
    <row r="23">
      <c r="A23" s="117" t="s">
        <v>163</v>
      </c>
      <c r="B23" s="117" t="s">
        <v>90</v>
      </c>
      <c r="C23" s="117" t="s">
        <v>24</v>
      </c>
      <c r="D23" s="117" t="s">
        <v>340</v>
      </c>
      <c r="E23" s="117" t="s">
        <v>92</v>
      </c>
      <c r="F23" s="117" t="s">
        <v>341</v>
      </c>
      <c r="G23" s="117" t="s">
        <v>94</v>
      </c>
      <c r="H23" s="130">
        <v>46031.0</v>
      </c>
      <c r="I23" s="119" t="s">
        <v>101</v>
      </c>
      <c r="J23" s="117" t="s">
        <v>57</v>
      </c>
      <c r="K23" s="117" t="s">
        <v>82</v>
      </c>
      <c r="L23" s="117" t="s">
        <v>306</v>
      </c>
      <c r="M23" s="117" t="s">
        <v>32</v>
      </c>
      <c r="N23" s="117" t="s">
        <v>45</v>
      </c>
      <c r="O23" s="117" t="s">
        <v>97</v>
      </c>
      <c r="P23" s="117" t="s">
        <v>271</v>
      </c>
      <c r="Q23" s="18" t="s">
        <v>342</v>
      </c>
      <c r="R23" s="18"/>
      <c r="S23" s="18" t="s">
        <v>37</v>
      </c>
      <c r="T23" s="120"/>
      <c r="U23" s="18">
        <f t="shared" si="1"/>
        <v>1</v>
      </c>
      <c r="V23" s="18">
        <f t="shared" si="2"/>
        <v>3</v>
      </c>
      <c r="W23" s="18" t="str">
        <f t="shared" si="3"/>
        <v>Internal</v>
      </c>
    </row>
    <row r="24">
      <c r="A24" s="117" t="s">
        <v>168</v>
      </c>
      <c r="B24" s="117" t="s">
        <v>90</v>
      </c>
      <c r="C24" s="117" t="s">
        <v>24</v>
      </c>
      <c r="D24" s="117" t="s">
        <v>91</v>
      </c>
      <c r="E24" s="117" t="s">
        <v>92</v>
      </c>
      <c r="F24" s="117" t="s">
        <v>343</v>
      </c>
      <c r="G24" s="117" t="s">
        <v>94</v>
      </c>
      <c r="H24" s="130"/>
      <c r="I24" s="119" t="s">
        <v>344</v>
      </c>
      <c r="J24" s="117" t="s">
        <v>57</v>
      </c>
      <c r="K24" s="117" t="s">
        <v>82</v>
      </c>
      <c r="L24" s="117" t="s">
        <v>103</v>
      </c>
      <c r="M24" s="117" t="s">
        <v>96</v>
      </c>
      <c r="N24" s="117" t="s">
        <v>45</v>
      </c>
      <c r="O24" s="117" t="s">
        <v>97</v>
      </c>
      <c r="P24" s="117" t="s">
        <v>314</v>
      </c>
      <c r="Q24" s="18" t="s">
        <v>345</v>
      </c>
      <c r="R24" s="18"/>
      <c r="S24" s="18" t="s">
        <v>37</v>
      </c>
      <c r="T24" s="120"/>
      <c r="U24" s="18">
        <f t="shared" si="1"/>
        <v>1</v>
      </c>
      <c r="V24" s="18">
        <f t="shared" si="2"/>
        <v>3</v>
      </c>
      <c r="W24" s="18" t="str">
        <f t="shared" si="3"/>
        <v>Internal</v>
      </c>
    </row>
    <row r="25">
      <c r="A25" s="117" t="s">
        <v>173</v>
      </c>
      <c r="B25" s="117" t="s">
        <v>90</v>
      </c>
      <c r="C25" s="117" t="s">
        <v>24</v>
      </c>
      <c r="D25" s="117" t="s">
        <v>91</v>
      </c>
      <c r="E25" s="117" t="s">
        <v>92</v>
      </c>
      <c r="F25" s="117" t="s">
        <v>346</v>
      </c>
      <c r="G25" s="117" t="s">
        <v>132</v>
      </c>
      <c r="H25" s="130">
        <v>45818.0</v>
      </c>
      <c r="I25" s="119" t="s">
        <v>347</v>
      </c>
      <c r="J25" s="117" t="s">
        <v>42</v>
      </c>
      <c r="K25" s="117" t="s">
        <v>58</v>
      </c>
      <c r="L25" s="117" t="s">
        <v>313</v>
      </c>
      <c r="M25" s="117" t="s">
        <v>32</v>
      </c>
      <c r="N25" s="117"/>
      <c r="O25" s="117" t="s">
        <v>34</v>
      </c>
      <c r="P25" s="117" t="s">
        <v>271</v>
      </c>
      <c r="Q25" s="18" t="s">
        <v>348</v>
      </c>
      <c r="R25" s="18"/>
      <c r="S25" s="18" t="s">
        <v>37</v>
      </c>
      <c r="T25" s="120"/>
      <c r="U25" s="18">
        <f t="shared" si="1"/>
        <v>3</v>
      </c>
      <c r="V25" s="18">
        <f t="shared" si="2"/>
        <v>3</v>
      </c>
      <c r="W25" s="18" t="str">
        <f t="shared" si="3"/>
        <v>Internal</v>
      </c>
    </row>
    <row r="26">
      <c r="A26" s="117" t="s">
        <v>183</v>
      </c>
      <c r="B26" s="117" t="s">
        <v>90</v>
      </c>
      <c r="C26" s="117" t="s">
        <v>24</v>
      </c>
      <c r="D26" s="117" t="s">
        <v>91</v>
      </c>
      <c r="E26" s="117" t="s">
        <v>92</v>
      </c>
      <c r="F26" s="117" t="s">
        <v>349</v>
      </c>
      <c r="G26" s="117" t="s">
        <v>94</v>
      </c>
      <c r="H26" s="130"/>
      <c r="I26" s="119" t="s">
        <v>350</v>
      </c>
      <c r="J26" s="117" t="s">
        <v>42</v>
      </c>
      <c r="K26" s="117" t="s">
        <v>30</v>
      </c>
      <c r="L26" s="117" t="s">
        <v>313</v>
      </c>
      <c r="M26" s="117" t="s">
        <v>45</v>
      </c>
      <c r="N26" s="117"/>
      <c r="O26" s="117" t="s">
        <v>34</v>
      </c>
      <c r="P26" s="117" t="s">
        <v>271</v>
      </c>
      <c r="Q26" s="18" t="s">
        <v>351</v>
      </c>
      <c r="R26" s="18"/>
      <c r="S26" s="18" t="s">
        <v>37</v>
      </c>
      <c r="T26" s="120"/>
      <c r="U26" s="18">
        <f t="shared" si="1"/>
        <v>3</v>
      </c>
      <c r="V26" s="18">
        <f t="shared" si="2"/>
        <v>3</v>
      </c>
      <c r="W26" s="18" t="str">
        <f t="shared" si="3"/>
        <v>Internal</v>
      </c>
    </row>
    <row r="27">
      <c r="A27" s="117" t="s">
        <v>188</v>
      </c>
      <c r="B27" s="117" t="s">
        <v>352</v>
      </c>
      <c r="C27" s="117" t="s">
        <v>24</v>
      </c>
      <c r="D27" s="117" t="s">
        <v>353</v>
      </c>
      <c r="E27" s="117" t="s">
        <v>107</v>
      </c>
      <c r="F27" s="117" t="s">
        <v>354</v>
      </c>
      <c r="G27" s="117" t="s">
        <v>132</v>
      </c>
      <c r="H27" s="130"/>
      <c r="I27" s="119" t="s">
        <v>116</v>
      </c>
      <c r="J27" s="117" t="s">
        <v>57</v>
      </c>
      <c r="K27" s="117" t="s">
        <v>82</v>
      </c>
      <c r="L27" s="117" t="s">
        <v>355</v>
      </c>
      <c r="M27" s="117" t="s">
        <v>45</v>
      </c>
      <c r="N27" s="117" t="s">
        <v>44</v>
      </c>
      <c r="O27" s="117" t="s">
        <v>97</v>
      </c>
      <c r="P27" s="117" t="s">
        <v>111</v>
      </c>
      <c r="Q27" s="18" t="s">
        <v>356</v>
      </c>
      <c r="R27" s="18"/>
      <c r="S27" s="18" t="s">
        <v>37</v>
      </c>
      <c r="T27" s="120">
        <v>46157.0</v>
      </c>
      <c r="U27" s="18">
        <f t="shared" si="1"/>
        <v>1</v>
      </c>
      <c r="V27" s="18">
        <f t="shared" si="2"/>
        <v>4</v>
      </c>
      <c r="W27" s="18" t="str">
        <f t="shared" si="3"/>
        <v>Internal</v>
      </c>
    </row>
    <row r="28">
      <c r="A28" s="117" t="s">
        <v>193</v>
      </c>
      <c r="B28" s="117" t="s">
        <v>352</v>
      </c>
      <c r="C28" s="117" t="s">
        <v>24</v>
      </c>
      <c r="D28" s="117" t="s">
        <v>357</v>
      </c>
      <c r="E28" s="117" t="s">
        <v>107</v>
      </c>
      <c r="F28" s="117" t="s">
        <v>358</v>
      </c>
      <c r="G28" s="117" t="s">
        <v>94</v>
      </c>
      <c r="H28" s="130">
        <v>45962.0</v>
      </c>
      <c r="I28" s="119" t="s">
        <v>359</v>
      </c>
      <c r="J28" s="117" t="s">
        <v>180</v>
      </c>
      <c r="K28" s="117" t="s">
        <v>102</v>
      </c>
      <c r="L28" s="117" t="s">
        <v>306</v>
      </c>
      <c r="M28" s="117" t="s">
        <v>44</v>
      </c>
      <c r="N28" s="117" t="s">
        <v>96</v>
      </c>
      <c r="O28" s="117" t="s">
        <v>34</v>
      </c>
      <c r="P28" s="117" t="s">
        <v>314</v>
      </c>
      <c r="Q28" s="18" t="s">
        <v>360</v>
      </c>
      <c r="R28" s="18"/>
      <c r="S28" s="18" t="s">
        <v>37</v>
      </c>
      <c r="T28" s="120">
        <v>46157.0</v>
      </c>
      <c r="U28" s="18">
        <f t="shared" si="1"/>
        <v>0</v>
      </c>
      <c r="V28" s="18">
        <f t="shared" si="2"/>
        <v>4</v>
      </c>
      <c r="W28" s="18" t="str">
        <f t="shared" si="3"/>
        <v>Internal</v>
      </c>
    </row>
    <row r="29">
      <c r="A29" s="117" t="s">
        <v>199</v>
      </c>
      <c r="B29" s="117" t="s">
        <v>352</v>
      </c>
      <c r="C29" s="117" t="s">
        <v>24</v>
      </c>
      <c r="D29" s="117" t="s">
        <v>106</v>
      </c>
      <c r="E29" s="117" t="s">
        <v>107</v>
      </c>
      <c r="F29" s="117" t="s">
        <v>361</v>
      </c>
      <c r="G29" s="117" t="s">
        <v>94</v>
      </c>
      <c r="H29" s="130"/>
      <c r="I29" s="119" t="s">
        <v>127</v>
      </c>
      <c r="J29" s="117" t="s">
        <v>57</v>
      </c>
      <c r="K29" s="117" t="s">
        <v>30</v>
      </c>
      <c r="L29" s="117" t="s">
        <v>103</v>
      </c>
      <c r="M29" s="117" t="s">
        <v>96</v>
      </c>
      <c r="N29" s="117" t="s">
        <v>44</v>
      </c>
      <c r="O29" s="117" t="s">
        <v>110</v>
      </c>
      <c r="P29" s="117" t="s">
        <v>314</v>
      </c>
      <c r="Q29" s="18" t="s">
        <v>128</v>
      </c>
      <c r="R29" s="18"/>
      <c r="S29" s="18" t="s">
        <v>37</v>
      </c>
      <c r="T29" s="120">
        <v>46157.0</v>
      </c>
      <c r="U29" s="18">
        <f t="shared" si="1"/>
        <v>1</v>
      </c>
      <c r="V29" s="18">
        <f t="shared" si="2"/>
        <v>4</v>
      </c>
      <c r="W29" s="18" t="str">
        <f t="shared" si="3"/>
        <v>Internal</v>
      </c>
    </row>
    <row r="30">
      <c r="A30" s="117" t="s">
        <v>204</v>
      </c>
      <c r="B30" s="117" t="s">
        <v>352</v>
      </c>
      <c r="C30" s="117" t="s">
        <v>24</v>
      </c>
      <c r="D30" s="117" t="s">
        <v>106</v>
      </c>
      <c r="E30" s="117" t="s">
        <v>107</v>
      </c>
      <c r="F30" s="117" t="s">
        <v>362</v>
      </c>
      <c r="G30" s="117" t="s">
        <v>132</v>
      </c>
      <c r="H30" s="130">
        <v>45314.0</v>
      </c>
      <c r="I30" s="119" t="s">
        <v>363</v>
      </c>
      <c r="J30" s="117" t="s">
        <v>57</v>
      </c>
      <c r="K30" s="117" t="s">
        <v>58</v>
      </c>
      <c r="L30" s="117" t="s">
        <v>103</v>
      </c>
      <c r="M30" s="117" t="s">
        <v>44</v>
      </c>
      <c r="N30" s="117" t="s">
        <v>96</v>
      </c>
      <c r="O30" s="117" t="s">
        <v>34</v>
      </c>
      <c r="P30" s="117" t="s">
        <v>111</v>
      </c>
      <c r="Q30" s="18" t="s">
        <v>364</v>
      </c>
      <c r="R30" s="18"/>
      <c r="S30" s="18" t="s">
        <v>37</v>
      </c>
      <c r="T30" s="120">
        <v>46157.0</v>
      </c>
      <c r="U30" s="18">
        <f t="shared" si="1"/>
        <v>1</v>
      </c>
      <c r="V30" s="18">
        <f t="shared" si="2"/>
        <v>4</v>
      </c>
      <c r="W30" s="18" t="str">
        <f t="shared" si="3"/>
        <v>Internal</v>
      </c>
    </row>
    <row r="31">
      <c r="A31" s="117" t="s">
        <v>209</v>
      </c>
      <c r="B31" s="117" t="s">
        <v>352</v>
      </c>
      <c r="C31" s="117" t="s">
        <v>24</v>
      </c>
      <c r="D31" s="117" t="s">
        <v>106</v>
      </c>
      <c r="E31" s="117" t="s">
        <v>107</v>
      </c>
      <c r="F31" s="117" t="s">
        <v>365</v>
      </c>
      <c r="G31" s="117" t="s">
        <v>132</v>
      </c>
      <c r="H31" s="130"/>
      <c r="I31" s="119" t="s">
        <v>366</v>
      </c>
      <c r="J31" s="117" t="s">
        <v>57</v>
      </c>
      <c r="K31" s="117" t="s">
        <v>30</v>
      </c>
      <c r="L31" s="117" t="s">
        <v>103</v>
      </c>
      <c r="M31" s="117" t="s">
        <v>45</v>
      </c>
      <c r="N31" s="117" t="s">
        <v>96</v>
      </c>
      <c r="O31" s="117" t="s">
        <v>34</v>
      </c>
      <c r="P31" s="117" t="s">
        <v>111</v>
      </c>
      <c r="Q31" s="18" t="s">
        <v>367</v>
      </c>
      <c r="R31" s="18"/>
      <c r="S31" s="18" t="s">
        <v>37</v>
      </c>
      <c r="T31" s="120">
        <v>46157.0</v>
      </c>
      <c r="U31" s="18">
        <f t="shared" si="1"/>
        <v>1</v>
      </c>
      <c r="V31" s="18">
        <f t="shared" si="2"/>
        <v>4</v>
      </c>
      <c r="W31" s="18" t="str">
        <f t="shared" si="3"/>
        <v>Internal</v>
      </c>
    </row>
    <row r="32">
      <c r="A32" s="117" t="s">
        <v>214</v>
      </c>
      <c r="B32" s="117" t="s">
        <v>352</v>
      </c>
      <c r="C32" s="117" t="s">
        <v>24</v>
      </c>
      <c r="D32" s="117" t="s">
        <v>368</v>
      </c>
      <c r="E32" s="117" t="s">
        <v>137</v>
      </c>
      <c r="F32" s="117" t="s">
        <v>143</v>
      </c>
      <c r="G32" s="117" t="s">
        <v>27</v>
      </c>
      <c r="H32" s="118">
        <v>45888.0</v>
      </c>
      <c r="I32" s="119" t="s">
        <v>144</v>
      </c>
      <c r="J32" s="117" t="s">
        <v>42</v>
      </c>
      <c r="K32" s="117" t="s">
        <v>82</v>
      </c>
      <c r="L32" s="117" t="s">
        <v>103</v>
      </c>
      <c r="M32" s="117" t="s">
        <v>44</v>
      </c>
      <c r="N32" s="117" t="s">
        <v>32</v>
      </c>
      <c r="O32" s="117" t="s">
        <v>97</v>
      </c>
      <c r="P32" s="117" t="s">
        <v>314</v>
      </c>
      <c r="Q32" s="18" t="s">
        <v>145</v>
      </c>
      <c r="R32" s="18"/>
      <c r="S32" s="18" t="s">
        <v>37</v>
      </c>
      <c r="T32" s="120">
        <v>46157.0</v>
      </c>
      <c r="U32" s="18">
        <f t="shared" si="1"/>
        <v>3</v>
      </c>
      <c r="V32" s="18">
        <f t="shared" si="2"/>
        <v>4</v>
      </c>
      <c r="W32" s="18" t="str">
        <f t="shared" si="3"/>
        <v>Internal</v>
      </c>
    </row>
    <row r="33">
      <c r="A33" s="117" t="s">
        <v>220</v>
      </c>
      <c r="B33" s="117" t="s">
        <v>352</v>
      </c>
      <c r="C33" s="117" t="s">
        <v>24</v>
      </c>
      <c r="D33" s="117" t="s">
        <v>369</v>
      </c>
      <c r="E33" s="117" t="s">
        <v>137</v>
      </c>
      <c r="F33" s="117" t="s">
        <v>370</v>
      </c>
      <c r="G33" s="117" t="s">
        <v>27</v>
      </c>
      <c r="H33" s="130"/>
      <c r="I33" s="119" t="s">
        <v>371</v>
      </c>
      <c r="J33" s="117" t="s">
        <v>29</v>
      </c>
      <c r="K33" s="117" t="s">
        <v>82</v>
      </c>
      <c r="L33" s="117" t="s">
        <v>313</v>
      </c>
      <c r="M33" s="117" t="s">
        <v>96</v>
      </c>
      <c r="N33" s="117" t="s">
        <v>45</v>
      </c>
      <c r="O33" s="117" t="s">
        <v>97</v>
      </c>
      <c r="P33" s="117" t="s">
        <v>271</v>
      </c>
      <c r="Q33" s="18" t="s">
        <v>372</v>
      </c>
      <c r="R33" s="18" t="s">
        <v>373</v>
      </c>
      <c r="S33" s="18" t="s">
        <v>37</v>
      </c>
      <c r="T33" s="120">
        <v>46157.0</v>
      </c>
      <c r="U33" s="18">
        <f t="shared" si="1"/>
        <v>2</v>
      </c>
      <c r="V33" s="18">
        <f t="shared" si="2"/>
        <v>4</v>
      </c>
      <c r="W33" s="18" t="str">
        <f t="shared" si="3"/>
        <v>Internal</v>
      </c>
    </row>
    <row r="34">
      <c r="A34" s="117" t="s">
        <v>226</v>
      </c>
      <c r="B34" s="117" t="s">
        <v>352</v>
      </c>
      <c r="C34" s="117" t="s">
        <v>24</v>
      </c>
      <c r="D34" s="117" t="s">
        <v>374</v>
      </c>
      <c r="E34" s="117" t="s">
        <v>137</v>
      </c>
      <c r="F34" s="117" t="s">
        <v>375</v>
      </c>
      <c r="G34" s="117" t="s">
        <v>27</v>
      </c>
      <c r="H34" s="130"/>
      <c r="I34" s="119" t="s">
        <v>376</v>
      </c>
      <c r="J34" s="117" t="s">
        <v>29</v>
      </c>
      <c r="K34" s="117" t="s">
        <v>58</v>
      </c>
      <c r="L34" s="117" t="s">
        <v>103</v>
      </c>
      <c r="M34" s="117" t="s">
        <v>44</v>
      </c>
      <c r="N34" s="117" t="s">
        <v>96</v>
      </c>
      <c r="O34" s="117" t="s">
        <v>97</v>
      </c>
      <c r="P34" s="117" t="s">
        <v>314</v>
      </c>
      <c r="Q34" s="18" t="s">
        <v>377</v>
      </c>
      <c r="R34" s="18"/>
      <c r="S34" s="18" t="s">
        <v>37</v>
      </c>
      <c r="T34" s="120">
        <v>46157.0</v>
      </c>
      <c r="U34" s="18">
        <f t="shared" si="1"/>
        <v>2</v>
      </c>
      <c r="V34" s="18">
        <f t="shared" si="2"/>
        <v>4</v>
      </c>
      <c r="W34" s="18" t="str">
        <f t="shared" si="3"/>
        <v>Internal</v>
      </c>
    </row>
    <row r="35">
      <c r="A35" s="117" t="s">
        <v>231</v>
      </c>
      <c r="B35" s="117" t="s">
        <v>352</v>
      </c>
      <c r="C35" s="117" t="s">
        <v>24</v>
      </c>
      <c r="D35" s="117" t="s">
        <v>378</v>
      </c>
      <c r="E35" s="117" t="s">
        <v>137</v>
      </c>
      <c r="F35" s="117" t="s">
        <v>379</v>
      </c>
      <c r="G35" s="117" t="s">
        <v>27</v>
      </c>
      <c r="H35" s="130"/>
      <c r="I35" s="119" t="s">
        <v>380</v>
      </c>
      <c r="J35" s="117" t="s">
        <v>57</v>
      </c>
      <c r="K35" s="117" t="s">
        <v>82</v>
      </c>
      <c r="L35" s="117" t="s">
        <v>306</v>
      </c>
      <c r="M35" s="117" t="s">
        <v>32</v>
      </c>
      <c r="N35" s="117" t="s">
        <v>96</v>
      </c>
      <c r="O35" s="117" t="s">
        <v>97</v>
      </c>
      <c r="P35" s="117" t="s">
        <v>271</v>
      </c>
      <c r="Q35" s="18" t="s">
        <v>381</v>
      </c>
      <c r="R35" s="18" t="s">
        <v>373</v>
      </c>
      <c r="S35" s="18" t="s">
        <v>37</v>
      </c>
      <c r="T35" s="120">
        <v>46157.0</v>
      </c>
      <c r="U35" s="18">
        <f t="shared" si="1"/>
        <v>1</v>
      </c>
      <c r="V35" s="18">
        <f t="shared" si="2"/>
        <v>4</v>
      </c>
      <c r="W35" s="18" t="str">
        <f t="shared" si="3"/>
        <v>Internal</v>
      </c>
    </row>
    <row r="36">
      <c r="A36" s="117" t="s">
        <v>236</v>
      </c>
      <c r="B36" s="117" t="s">
        <v>352</v>
      </c>
      <c r="C36" s="117" t="s">
        <v>24</v>
      </c>
      <c r="D36" s="117" t="s">
        <v>382</v>
      </c>
      <c r="E36" s="117" t="s">
        <v>137</v>
      </c>
      <c r="F36" s="117" t="s">
        <v>165</v>
      </c>
      <c r="G36" s="117" t="s">
        <v>132</v>
      </c>
      <c r="H36" s="121">
        <v>45717.0</v>
      </c>
      <c r="I36" s="119" t="s">
        <v>166</v>
      </c>
      <c r="J36" s="117" t="s">
        <v>29</v>
      </c>
      <c r="K36" s="117" t="s">
        <v>58</v>
      </c>
      <c r="L36" s="117" t="s">
        <v>103</v>
      </c>
      <c r="M36" s="117" t="s">
        <v>44</v>
      </c>
      <c r="N36" s="117" t="s">
        <v>45</v>
      </c>
      <c r="O36" s="117" t="s">
        <v>34</v>
      </c>
      <c r="P36" s="117" t="s">
        <v>111</v>
      </c>
      <c r="Q36" s="18" t="s">
        <v>383</v>
      </c>
      <c r="R36" s="18"/>
      <c r="S36" s="18" t="s">
        <v>37</v>
      </c>
      <c r="T36" s="120">
        <v>46157.0</v>
      </c>
      <c r="U36" s="18">
        <f t="shared" si="1"/>
        <v>2</v>
      </c>
      <c r="V36" s="18">
        <f t="shared" si="2"/>
        <v>4</v>
      </c>
      <c r="W36" s="18" t="str">
        <f t="shared" si="3"/>
        <v>Internal</v>
      </c>
    </row>
    <row r="37">
      <c r="A37" s="117" t="s">
        <v>242</v>
      </c>
      <c r="B37" s="117" t="s">
        <v>352</v>
      </c>
      <c r="C37" s="117" t="s">
        <v>24</v>
      </c>
      <c r="D37" s="117" t="s">
        <v>169</v>
      </c>
      <c r="E37" s="117" t="s">
        <v>92</v>
      </c>
      <c r="F37" s="117" t="s">
        <v>384</v>
      </c>
      <c r="G37" s="117" t="s">
        <v>132</v>
      </c>
      <c r="H37" s="117">
        <v>2025.0</v>
      </c>
      <c r="I37" s="119" t="s">
        <v>171</v>
      </c>
      <c r="J37" s="117" t="s">
        <v>29</v>
      </c>
      <c r="K37" s="117" t="s">
        <v>102</v>
      </c>
      <c r="L37" s="117" t="s">
        <v>103</v>
      </c>
      <c r="M37" s="117" t="s">
        <v>44</v>
      </c>
      <c r="N37" s="117" t="s">
        <v>96</v>
      </c>
      <c r="O37" s="117" t="s">
        <v>97</v>
      </c>
      <c r="P37" s="117" t="s">
        <v>314</v>
      </c>
      <c r="Q37" s="18" t="s">
        <v>172</v>
      </c>
      <c r="R37" s="18"/>
      <c r="S37" s="18" t="s">
        <v>37</v>
      </c>
      <c r="T37" s="120">
        <v>46156.0</v>
      </c>
      <c r="U37" s="18">
        <f t="shared" si="1"/>
        <v>2</v>
      </c>
      <c r="V37" s="18">
        <f t="shared" si="2"/>
        <v>4</v>
      </c>
      <c r="W37" s="18" t="str">
        <f t="shared" si="3"/>
        <v>Internal</v>
      </c>
    </row>
    <row r="38">
      <c r="A38" s="117" t="s">
        <v>247</v>
      </c>
      <c r="B38" s="117" t="s">
        <v>352</v>
      </c>
      <c r="C38" s="117" t="s">
        <v>24</v>
      </c>
      <c r="D38" s="117" t="s">
        <v>385</v>
      </c>
      <c r="E38" s="117" t="s">
        <v>92</v>
      </c>
      <c r="F38" s="117" t="s">
        <v>386</v>
      </c>
      <c r="G38" s="117" t="s">
        <v>94</v>
      </c>
      <c r="H38" s="130"/>
      <c r="I38" s="119" t="s">
        <v>387</v>
      </c>
      <c r="J38" s="117" t="s">
        <v>57</v>
      </c>
      <c r="K38" s="117" t="s">
        <v>30</v>
      </c>
      <c r="L38" s="117" t="s">
        <v>306</v>
      </c>
      <c r="M38" s="117" t="s">
        <v>96</v>
      </c>
      <c r="N38" s="117" t="s">
        <v>45</v>
      </c>
      <c r="O38" s="117" t="s">
        <v>97</v>
      </c>
      <c r="P38" s="117" t="s">
        <v>314</v>
      </c>
      <c r="Q38" s="18" t="s">
        <v>388</v>
      </c>
      <c r="R38" s="18"/>
      <c r="S38" s="18" t="s">
        <v>37</v>
      </c>
      <c r="T38" s="120">
        <v>46156.0</v>
      </c>
      <c r="U38" s="18">
        <f t="shared" si="1"/>
        <v>1</v>
      </c>
      <c r="V38" s="18">
        <f t="shared" si="2"/>
        <v>4</v>
      </c>
      <c r="W38" s="18" t="str">
        <f t="shared" si="3"/>
        <v>Internal</v>
      </c>
    </row>
    <row r="39">
      <c r="A39" s="117" t="s">
        <v>252</v>
      </c>
      <c r="B39" s="117" t="s">
        <v>352</v>
      </c>
      <c r="C39" s="117" t="s">
        <v>24</v>
      </c>
      <c r="D39" s="117" t="s">
        <v>389</v>
      </c>
      <c r="E39" s="117" t="s">
        <v>92</v>
      </c>
      <c r="F39" s="117" t="s">
        <v>390</v>
      </c>
      <c r="G39" s="117" t="s">
        <v>94</v>
      </c>
      <c r="H39" s="130"/>
      <c r="I39" s="119" t="s">
        <v>391</v>
      </c>
      <c r="J39" s="117" t="s">
        <v>42</v>
      </c>
      <c r="K39" s="117" t="s">
        <v>82</v>
      </c>
      <c r="L39" s="117" t="s">
        <v>313</v>
      </c>
      <c r="M39" s="117" t="s">
        <v>45</v>
      </c>
      <c r="N39" s="117" t="s">
        <v>32</v>
      </c>
      <c r="O39" s="117" t="s">
        <v>300</v>
      </c>
      <c r="P39" s="117" t="s">
        <v>271</v>
      </c>
      <c r="Q39" s="18" t="s">
        <v>392</v>
      </c>
      <c r="R39" s="18"/>
      <c r="S39" s="18" t="s">
        <v>37</v>
      </c>
      <c r="T39" s="120">
        <v>46156.0</v>
      </c>
      <c r="U39" s="18">
        <f t="shared" si="1"/>
        <v>3</v>
      </c>
      <c r="V39" s="18">
        <f t="shared" si="2"/>
        <v>4</v>
      </c>
      <c r="W39" s="18" t="str">
        <f t="shared" si="3"/>
        <v>Internal</v>
      </c>
    </row>
    <row r="40">
      <c r="A40" s="117" t="s">
        <v>257</v>
      </c>
      <c r="B40" s="117" t="s">
        <v>352</v>
      </c>
      <c r="C40" s="117" t="s">
        <v>24</v>
      </c>
      <c r="D40" s="117" t="s">
        <v>393</v>
      </c>
      <c r="E40" s="117" t="s">
        <v>92</v>
      </c>
      <c r="F40" s="117" t="s">
        <v>394</v>
      </c>
      <c r="G40" s="117" t="s">
        <v>94</v>
      </c>
      <c r="H40" s="130"/>
      <c r="I40" s="119" t="s">
        <v>395</v>
      </c>
      <c r="J40" s="117" t="s">
        <v>29</v>
      </c>
      <c r="K40" s="117" t="s">
        <v>82</v>
      </c>
      <c r="L40" s="117" t="s">
        <v>306</v>
      </c>
      <c r="M40" s="117" t="s">
        <v>44</v>
      </c>
      <c r="N40" s="117" t="s">
        <v>96</v>
      </c>
      <c r="O40" s="117" t="s">
        <v>97</v>
      </c>
      <c r="P40" s="117" t="s">
        <v>314</v>
      </c>
      <c r="Q40" s="18" t="s">
        <v>396</v>
      </c>
      <c r="R40" s="18"/>
      <c r="S40" s="18" t="s">
        <v>37</v>
      </c>
      <c r="T40" s="120">
        <v>46156.0</v>
      </c>
      <c r="U40" s="18">
        <f t="shared" si="1"/>
        <v>2</v>
      </c>
      <c r="V40" s="18">
        <f t="shared" si="2"/>
        <v>4</v>
      </c>
      <c r="W40" s="18" t="str">
        <f t="shared" si="3"/>
        <v>Internal</v>
      </c>
    </row>
    <row r="41">
      <c r="A41" s="117" t="s">
        <v>262</v>
      </c>
      <c r="B41" s="117" t="s">
        <v>352</v>
      </c>
      <c r="C41" s="117" t="s">
        <v>24</v>
      </c>
      <c r="D41" s="117" t="s">
        <v>397</v>
      </c>
      <c r="E41" s="117" t="s">
        <v>92</v>
      </c>
      <c r="F41" s="117" t="s">
        <v>398</v>
      </c>
      <c r="G41" s="117" t="s">
        <v>94</v>
      </c>
      <c r="H41" s="130"/>
      <c r="I41" s="119" t="s">
        <v>399</v>
      </c>
      <c r="J41" s="117" t="s">
        <v>57</v>
      </c>
      <c r="K41" s="117" t="s">
        <v>82</v>
      </c>
      <c r="L41" s="117" t="s">
        <v>313</v>
      </c>
      <c r="M41" s="117" t="s">
        <v>32</v>
      </c>
      <c r="N41" s="117" t="s">
        <v>45</v>
      </c>
      <c r="O41" s="117" t="s">
        <v>34</v>
      </c>
      <c r="P41" s="117" t="s">
        <v>271</v>
      </c>
      <c r="Q41" s="18" t="s">
        <v>400</v>
      </c>
      <c r="R41" s="18"/>
      <c r="S41" s="18" t="s">
        <v>37</v>
      </c>
      <c r="T41" s="120">
        <v>46156.0</v>
      </c>
      <c r="U41" s="18">
        <f t="shared" si="1"/>
        <v>1</v>
      </c>
      <c r="V41" s="18">
        <f t="shared" si="2"/>
        <v>4</v>
      </c>
      <c r="W41" s="18" t="str">
        <f t="shared" si="3"/>
        <v>Internal</v>
      </c>
    </row>
    <row r="42">
      <c r="A42" s="117" t="s">
        <v>401</v>
      </c>
      <c r="B42" s="117" t="s">
        <v>174</v>
      </c>
      <c r="C42" s="117" t="s">
        <v>24</v>
      </c>
      <c r="D42" s="117" t="s">
        <v>402</v>
      </c>
      <c r="E42" s="117" t="s">
        <v>107</v>
      </c>
      <c r="F42" s="117" t="s">
        <v>403</v>
      </c>
      <c r="G42" s="117" t="s">
        <v>177</v>
      </c>
      <c r="H42" s="117" t="s">
        <v>178</v>
      </c>
      <c r="I42" s="119" t="s">
        <v>404</v>
      </c>
      <c r="J42" s="117" t="s">
        <v>180</v>
      </c>
      <c r="K42" s="117" t="s">
        <v>82</v>
      </c>
      <c r="L42" s="117" t="s">
        <v>103</v>
      </c>
      <c r="M42" s="117" t="s">
        <v>96</v>
      </c>
      <c r="N42" s="117" t="s">
        <v>44</v>
      </c>
      <c r="O42" s="117" t="s">
        <v>110</v>
      </c>
      <c r="P42" s="117" t="s">
        <v>151</v>
      </c>
      <c r="Q42" s="18" t="s">
        <v>405</v>
      </c>
      <c r="R42" s="18"/>
      <c r="S42" s="18" t="s">
        <v>37</v>
      </c>
      <c r="T42" s="120">
        <v>46156.0</v>
      </c>
      <c r="U42" s="18">
        <f t="shared" si="1"/>
        <v>0</v>
      </c>
      <c r="V42" s="18">
        <f t="shared" si="2"/>
        <v>5</v>
      </c>
      <c r="W42" s="18" t="str">
        <f t="shared" si="3"/>
        <v>Internal</v>
      </c>
    </row>
    <row r="43">
      <c r="A43" s="117" t="s">
        <v>406</v>
      </c>
      <c r="B43" s="117" t="s">
        <v>174</v>
      </c>
      <c r="C43" s="117" t="s">
        <v>24</v>
      </c>
      <c r="D43" s="117" t="s">
        <v>402</v>
      </c>
      <c r="E43" s="117" t="s">
        <v>107</v>
      </c>
      <c r="F43" s="117" t="s">
        <v>407</v>
      </c>
      <c r="G43" s="117" t="s">
        <v>177</v>
      </c>
      <c r="H43" s="117" t="s">
        <v>178</v>
      </c>
      <c r="I43" s="119" t="s">
        <v>408</v>
      </c>
      <c r="J43" s="117" t="s">
        <v>180</v>
      </c>
      <c r="K43" s="117" t="s">
        <v>30</v>
      </c>
      <c r="L43" s="117" t="s">
        <v>103</v>
      </c>
      <c r="M43" s="117" t="s">
        <v>96</v>
      </c>
      <c r="N43" s="117" t="s">
        <v>44</v>
      </c>
      <c r="O43" s="117" t="s">
        <v>97</v>
      </c>
      <c r="P43" s="117" t="s">
        <v>151</v>
      </c>
      <c r="Q43" s="18" t="s">
        <v>409</v>
      </c>
      <c r="R43" s="18"/>
      <c r="S43" s="18" t="s">
        <v>37</v>
      </c>
      <c r="T43" s="120">
        <v>46156.0</v>
      </c>
      <c r="U43" s="18">
        <f t="shared" si="1"/>
        <v>0</v>
      </c>
      <c r="V43" s="18">
        <f t="shared" si="2"/>
        <v>5</v>
      </c>
      <c r="W43" s="18" t="str">
        <f t="shared" si="3"/>
        <v>Internal</v>
      </c>
    </row>
    <row r="44">
      <c r="A44" s="117" t="s">
        <v>410</v>
      </c>
      <c r="B44" s="117" t="s">
        <v>174</v>
      </c>
      <c r="C44" s="117" t="s">
        <v>24</v>
      </c>
      <c r="D44" s="117" t="s">
        <v>411</v>
      </c>
      <c r="E44" s="117" t="s">
        <v>107</v>
      </c>
      <c r="F44" s="117" t="s">
        <v>412</v>
      </c>
      <c r="G44" s="117" t="s">
        <v>177</v>
      </c>
      <c r="H44" s="117">
        <v>2025.0</v>
      </c>
      <c r="I44" s="119" t="s">
        <v>413</v>
      </c>
      <c r="J44" s="117" t="s">
        <v>180</v>
      </c>
      <c r="K44" s="117" t="s">
        <v>30</v>
      </c>
      <c r="L44" s="117" t="s">
        <v>103</v>
      </c>
      <c r="M44" s="117" t="s">
        <v>44</v>
      </c>
      <c r="N44" s="117" t="s">
        <v>96</v>
      </c>
      <c r="O44" s="117" t="s">
        <v>97</v>
      </c>
      <c r="P44" s="117" t="s">
        <v>151</v>
      </c>
      <c r="Q44" s="18" t="s">
        <v>414</v>
      </c>
      <c r="R44" s="18"/>
      <c r="S44" s="18" t="s">
        <v>37</v>
      </c>
      <c r="T44" s="120">
        <v>46156.0</v>
      </c>
      <c r="U44" s="18">
        <f t="shared" si="1"/>
        <v>0</v>
      </c>
      <c r="V44" s="18">
        <f t="shared" si="2"/>
        <v>5</v>
      </c>
      <c r="W44" s="18" t="str">
        <f t="shared" si="3"/>
        <v>Internal</v>
      </c>
    </row>
    <row r="45">
      <c r="A45" s="117" t="s">
        <v>415</v>
      </c>
      <c r="B45" s="117" t="s">
        <v>174</v>
      </c>
      <c r="C45" s="117" t="s">
        <v>24</v>
      </c>
      <c r="D45" s="117" t="s">
        <v>411</v>
      </c>
      <c r="E45" s="117" t="s">
        <v>107</v>
      </c>
      <c r="F45" s="117" t="s">
        <v>416</v>
      </c>
      <c r="G45" s="117" t="s">
        <v>177</v>
      </c>
      <c r="H45" s="117" t="s">
        <v>417</v>
      </c>
      <c r="I45" s="119" t="s">
        <v>418</v>
      </c>
      <c r="J45" s="117" t="s">
        <v>180</v>
      </c>
      <c r="K45" s="117" t="s">
        <v>82</v>
      </c>
      <c r="L45" s="117" t="s">
        <v>313</v>
      </c>
      <c r="M45" s="117" t="s">
        <v>96</v>
      </c>
      <c r="N45" s="117" t="s">
        <v>44</v>
      </c>
      <c r="O45" s="117" t="s">
        <v>110</v>
      </c>
      <c r="P45" s="117" t="s">
        <v>151</v>
      </c>
      <c r="Q45" s="18" t="s">
        <v>419</v>
      </c>
      <c r="R45" s="18"/>
      <c r="S45" s="18" t="s">
        <v>37</v>
      </c>
      <c r="T45" s="120">
        <v>46156.0</v>
      </c>
      <c r="U45" s="18">
        <f t="shared" si="1"/>
        <v>0</v>
      </c>
      <c r="V45" s="18">
        <f t="shared" si="2"/>
        <v>5</v>
      </c>
      <c r="W45" s="18" t="str">
        <f t="shared" si="3"/>
        <v>Internal</v>
      </c>
    </row>
    <row r="46">
      <c r="A46" s="117" t="s">
        <v>420</v>
      </c>
      <c r="B46" s="117" t="s">
        <v>174</v>
      </c>
      <c r="C46" s="117" t="s">
        <v>24</v>
      </c>
      <c r="D46" s="117" t="s">
        <v>411</v>
      </c>
      <c r="E46" s="117" t="s">
        <v>107</v>
      </c>
      <c r="F46" s="117" t="s">
        <v>421</v>
      </c>
      <c r="G46" s="117" t="s">
        <v>177</v>
      </c>
      <c r="H46" s="117" t="s">
        <v>178</v>
      </c>
      <c r="I46" s="119" t="s">
        <v>422</v>
      </c>
      <c r="J46" s="117" t="s">
        <v>180</v>
      </c>
      <c r="K46" s="117" t="s">
        <v>30</v>
      </c>
      <c r="L46" s="117" t="s">
        <v>103</v>
      </c>
      <c r="M46" s="117" t="s">
        <v>96</v>
      </c>
      <c r="N46" s="117" t="s">
        <v>44</v>
      </c>
      <c r="O46" s="117" t="s">
        <v>110</v>
      </c>
      <c r="P46" s="117" t="s">
        <v>151</v>
      </c>
      <c r="Q46" s="18" t="s">
        <v>423</v>
      </c>
      <c r="R46" s="18"/>
      <c r="S46" s="18" t="s">
        <v>37</v>
      </c>
      <c r="T46" s="120">
        <v>46156.0</v>
      </c>
      <c r="U46" s="18">
        <f t="shared" si="1"/>
        <v>0</v>
      </c>
      <c r="V46" s="18">
        <f t="shared" si="2"/>
        <v>5</v>
      </c>
      <c r="W46" s="18" t="str">
        <f t="shared" si="3"/>
        <v>Internal</v>
      </c>
    </row>
    <row r="47">
      <c r="A47" s="117" t="s">
        <v>424</v>
      </c>
      <c r="B47" s="117" t="s">
        <v>174</v>
      </c>
      <c r="C47" s="117" t="s">
        <v>24</v>
      </c>
      <c r="D47" s="117" t="s">
        <v>425</v>
      </c>
      <c r="E47" s="117" t="s">
        <v>137</v>
      </c>
      <c r="F47" s="117" t="s">
        <v>426</v>
      </c>
      <c r="G47" s="117" t="s">
        <v>177</v>
      </c>
      <c r="H47" s="117">
        <v>2025.0</v>
      </c>
      <c r="I47" s="119" t="s">
        <v>427</v>
      </c>
      <c r="J47" s="117" t="s">
        <v>180</v>
      </c>
      <c r="K47" s="117" t="s">
        <v>30</v>
      </c>
      <c r="L47" s="117" t="s">
        <v>103</v>
      </c>
      <c r="M47" s="117" t="s">
        <v>96</v>
      </c>
      <c r="N47" s="117" t="s">
        <v>44</v>
      </c>
      <c r="O47" s="117" t="s">
        <v>97</v>
      </c>
      <c r="P47" s="117" t="s">
        <v>151</v>
      </c>
      <c r="Q47" s="18" t="s">
        <v>428</v>
      </c>
      <c r="R47" s="18"/>
      <c r="S47" s="18" t="s">
        <v>37</v>
      </c>
      <c r="T47" s="120">
        <v>46156.0</v>
      </c>
      <c r="U47" s="18">
        <f t="shared" si="1"/>
        <v>0</v>
      </c>
      <c r="V47" s="18">
        <f t="shared" si="2"/>
        <v>5</v>
      </c>
      <c r="W47" s="18" t="str">
        <f t="shared" si="3"/>
        <v>Internal</v>
      </c>
    </row>
    <row r="48">
      <c r="A48" s="117" t="s">
        <v>429</v>
      </c>
      <c r="B48" s="117" t="s">
        <v>174</v>
      </c>
      <c r="C48" s="117" t="s">
        <v>24</v>
      </c>
      <c r="D48" s="117" t="s">
        <v>430</v>
      </c>
      <c r="E48" s="117" t="s">
        <v>137</v>
      </c>
      <c r="F48" s="117" t="s">
        <v>431</v>
      </c>
      <c r="G48" s="117" t="s">
        <v>177</v>
      </c>
      <c r="H48" s="117">
        <v>2025.0</v>
      </c>
      <c r="I48" s="119" t="s">
        <v>432</v>
      </c>
      <c r="J48" s="117" t="s">
        <v>29</v>
      </c>
      <c r="K48" s="117" t="s">
        <v>30</v>
      </c>
      <c r="L48" s="117" t="s">
        <v>103</v>
      </c>
      <c r="M48" s="117" t="s">
        <v>96</v>
      </c>
      <c r="N48" s="117" t="s">
        <v>44</v>
      </c>
      <c r="O48" s="117" t="s">
        <v>97</v>
      </c>
      <c r="P48" s="117" t="s">
        <v>151</v>
      </c>
      <c r="Q48" s="18" t="s">
        <v>433</v>
      </c>
      <c r="R48" s="18"/>
      <c r="S48" s="18" t="s">
        <v>37</v>
      </c>
      <c r="T48" s="120">
        <v>46156.0</v>
      </c>
      <c r="U48" s="18">
        <f t="shared" si="1"/>
        <v>2</v>
      </c>
      <c r="V48" s="18">
        <f t="shared" si="2"/>
        <v>5</v>
      </c>
      <c r="W48" s="18" t="str">
        <f t="shared" si="3"/>
        <v>Internal</v>
      </c>
    </row>
    <row r="49">
      <c r="A49" s="117" t="s">
        <v>434</v>
      </c>
      <c r="B49" s="117" t="s">
        <v>174</v>
      </c>
      <c r="C49" s="117" t="s">
        <v>24</v>
      </c>
      <c r="D49" s="117" t="s">
        <v>435</v>
      </c>
      <c r="E49" s="117" t="s">
        <v>137</v>
      </c>
      <c r="F49" s="117" t="s">
        <v>436</v>
      </c>
      <c r="G49" s="117" t="s">
        <v>177</v>
      </c>
      <c r="H49" s="117">
        <v>2026.0</v>
      </c>
      <c r="I49" s="119" t="s">
        <v>437</v>
      </c>
      <c r="J49" s="117" t="s">
        <v>29</v>
      </c>
      <c r="K49" s="117" t="s">
        <v>82</v>
      </c>
      <c r="L49" s="117" t="s">
        <v>103</v>
      </c>
      <c r="M49" s="117" t="s">
        <v>45</v>
      </c>
      <c r="N49" s="117" t="s">
        <v>96</v>
      </c>
      <c r="O49" s="117" t="s">
        <v>34</v>
      </c>
      <c r="P49" s="117" t="s">
        <v>151</v>
      </c>
      <c r="Q49" s="18" t="s">
        <v>438</v>
      </c>
      <c r="R49" s="18"/>
      <c r="S49" s="18" t="s">
        <v>37</v>
      </c>
      <c r="T49" s="120">
        <v>46156.0</v>
      </c>
      <c r="U49" s="18">
        <f t="shared" si="1"/>
        <v>2</v>
      </c>
      <c r="V49" s="18">
        <f t="shared" si="2"/>
        <v>5</v>
      </c>
      <c r="W49" s="18" t="str">
        <f t="shared" si="3"/>
        <v>Internal</v>
      </c>
    </row>
    <row r="50">
      <c r="A50" s="117" t="s">
        <v>439</v>
      </c>
      <c r="B50" s="117" t="s">
        <v>174</v>
      </c>
      <c r="C50" s="117" t="s">
        <v>24</v>
      </c>
      <c r="D50" s="117" t="s">
        <v>382</v>
      </c>
      <c r="E50" s="117" t="s">
        <v>137</v>
      </c>
      <c r="F50" s="117" t="s">
        <v>440</v>
      </c>
      <c r="G50" s="117" t="s">
        <v>177</v>
      </c>
      <c r="H50" s="117">
        <v>2025.0</v>
      </c>
      <c r="I50" s="119" t="s">
        <v>441</v>
      </c>
      <c r="J50" s="117" t="s">
        <v>57</v>
      </c>
      <c r="K50" s="117" t="s">
        <v>82</v>
      </c>
      <c r="L50" s="117" t="s">
        <v>103</v>
      </c>
      <c r="M50" s="117" t="s">
        <v>96</v>
      </c>
      <c r="N50" s="117" t="s">
        <v>45</v>
      </c>
      <c r="O50" s="117" t="s">
        <v>110</v>
      </c>
      <c r="P50" s="117" t="s">
        <v>151</v>
      </c>
      <c r="Q50" s="18" t="s">
        <v>442</v>
      </c>
      <c r="R50" s="18"/>
      <c r="S50" s="18" t="s">
        <v>37</v>
      </c>
      <c r="T50" s="120">
        <v>46156.0</v>
      </c>
      <c r="U50" s="18">
        <f t="shared" si="1"/>
        <v>1</v>
      </c>
      <c r="V50" s="18">
        <f t="shared" si="2"/>
        <v>5</v>
      </c>
      <c r="W50" s="18" t="str">
        <f t="shared" si="3"/>
        <v>Internal</v>
      </c>
    </row>
    <row r="51">
      <c r="A51" s="117" t="s">
        <v>443</v>
      </c>
      <c r="B51" s="117" t="s">
        <v>174</v>
      </c>
      <c r="C51" s="117" t="s">
        <v>24</v>
      </c>
      <c r="D51" s="117" t="s">
        <v>368</v>
      </c>
      <c r="E51" s="117" t="s">
        <v>137</v>
      </c>
      <c r="F51" s="117" t="s">
        <v>444</v>
      </c>
      <c r="G51" s="117" t="s">
        <v>177</v>
      </c>
      <c r="H51" s="117">
        <v>2025.0</v>
      </c>
      <c r="I51" s="119" t="s">
        <v>445</v>
      </c>
      <c r="J51" s="117" t="s">
        <v>42</v>
      </c>
      <c r="K51" s="117" t="s">
        <v>82</v>
      </c>
      <c r="L51" s="117" t="s">
        <v>103</v>
      </c>
      <c r="M51" s="117" t="s">
        <v>96</v>
      </c>
      <c r="N51" s="117"/>
      <c r="O51" s="117" t="s">
        <v>97</v>
      </c>
      <c r="P51" s="117" t="s">
        <v>151</v>
      </c>
      <c r="Q51" s="18" t="s">
        <v>446</v>
      </c>
      <c r="R51" s="18"/>
      <c r="S51" s="18" t="s">
        <v>37</v>
      </c>
      <c r="T51" s="120">
        <v>46156.0</v>
      </c>
      <c r="U51" s="18">
        <f t="shared" si="1"/>
        <v>3</v>
      </c>
      <c r="V51" s="18">
        <f t="shared" si="2"/>
        <v>5</v>
      </c>
      <c r="W51" s="18" t="str">
        <f t="shared" si="3"/>
        <v>Internal</v>
      </c>
    </row>
    <row r="52">
      <c r="A52" s="117" t="s">
        <v>447</v>
      </c>
      <c r="B52" s="117" t="s">
        <v>174</v>
      </c>
      <c r="C52" s="117" t="s">
        <v>24</v>
      </c>
      <c r="D52" s="117" t="s">
        <v>91</v>
      </c>
      <c r="E52" s="117" t="s">
        <v>92</v>
      </c>
      <c r="F52" s="117" t="s">
        <v>448</v>
      </c>
      <c r="G52" s="117" t="s">
        <v>177</v>
      </c>
      <c r="H52" s="117" t="s">
        <v>239</v>
      </c>
      <c r="I52" s="119" t="s">
        <v>449</v>
      </c>
      <c r="J52" s="117" t="s">
        <v>29</v>
      </c>
      <c r="K52" s="117" t="s">
        <v>82</v>
      </c>
      <c r="L52" s="117" t="s">
        <v>103</v>
      </c>
      <c r="M52" s="117" t="s">
        <v>96</v>
      </c>
      <c r="N52" s="117" t="s">
        <v>44</v>
      </c>
      <c r="O52" s="117" t="s">
        <v>97</v>
      </c>
      <c r="P52" s="117" t="s">
        <v>151</v>
      </c>
      <c r="Q52" s="18" t="s">
        <v>450</v>
      </c>
      <c r="R52" s="18"/>
      <c r="S52" s="18" t="s">
        <v>37</v>
      </c>
      <c r="T52" s="120">
        <v>46156.0</v>
      </c>
      <c r="U52" s="18">
        <f t="shared" si="1"/>
        <v>2</v>
      </c>
      <c r="V52" s="18">
        <f t="shared" si="2"/>
        <v>5</v>
      </c>
      <c r="W52" s="18" t="str">
        <f t="shared" si="3"/>
        <v>Internal</v>
      </c>
    </row>
    <row r="53">
      <c r="A53" s="117" t="s">
        <v>451</v>
      </c>
      <c r="B53" s="117" t="s">
        <v>174</v>
      </c>
      <c r="C53" s="117" t="s">
        <v>24</v>
      </c>
      <c r="D53" s="117" t="s">
        <v>91</v>
      </c>
      <c r="E53" s="117" t="s">
        <v>92</v>
      </c>
      <c r="F53" s="117" t="s">
        <v>452</v>
      </c>
      <c r="G53" s="117" t="s">
        <v>177</v>
      </c>
      <c r="H53" s="117" t="s">
        <v>417</v>
      </c>
      <c r="I53" s="119" t="s">
        <v>453</v>
      </c>
      <c r="J53" s="117" t="s">
        <v>180</v>
      </c>
      <c r="K53" s="117" t="s">
        <v>30</v>
      </c>
      <c r="L53" s="117" t="s">
        <v>103</v>
      </c>
      <c r="M53" s="117" t="s">
        <v>44</v>
      </c>
      <c r="N53" s="117"/>
      <c r="O53" s="117" t="s">
        <v>300</v>
      </c>
      <c r="P53" s="117" t="s">
        <v>151</v>
      </c>
      <c r="Q53" s="18" t="s">
        <v>454</v>
      </c>
      <c r="R53" s="18"/>
      <c r="S53" s="18" t="s">
        <v>37</v>
      </c>
      <c r="T53" s="120">
        <v>46156.0</v>
      </c>
      <c r="U53" s="18">
        <f t="shared" si="1"/>
        <v>0</v>
      </c>
      <c r="V53" s="18">
        <f t="shared" si="2"/>
        <v>5</v>
      </c>
      <c r="W53" s="18" t="str">
        <f t="shared" si="3"/>
        <v>Internal</v>
      </c>
    </row>
    <row r="54">
      <c r="A54" s="117" t="s">
        <v>455</v>
      </c>
      <c r="B54" s="117" t="s">
        <v>174</v>
      </c>
      <c r="C54" s="117" t="s">
        <v>24</v>
      </c>
      <c r="D54" s="117" t="s">
        <v>91</v>
      </c>
      <c r="E54" s="117" t="s">
        <v>92</v>
      </c>
      <c r="F54" s="117" t="s">
        <v>456</v>
      </c>
      <c r="G54" s="117" t="s">
        <v>177</v>
      </c>
      <c r="H54" s="117" t="s">
        <v>457</v>
      </c>
      <c r="I54" s="119" t="s">
        <v>458</v>
      </c>
      <c r="J54" s="117" t="s">
        <v>180</v>
      </c>
      <c r="K54" s="117" t="s">
        <v>30</v>
      </c>
      <c r="L54" s="117" t="s">
        <v>103</v>
      </c>
      <c r="M54" s="117" t="s">
        <v>44</v>
      </c>
      <c r="N54" s="117" t="s">
        <v>96</v>
      </c>
      <c r="O54" s="117" t="s">
        <v>300</v>
      </c>
      <c r="P54" s="117" t="s">
        <v>151</v>
      </c>
      <c r="Q54" s="18" t="s">
        <v>459</v>
      </c>
      <c r="R54" s="18"/>
      <c r="S54" s="18" t="s">
        <v>37</v>
      </c>
      <c r="T54" s="120">
        <v>46156.0</v>
      </c>
      <c r="U54" s="18">
        <f t="shared" si="1"/>
        <v>0</v>
      </c>
      <c r="V54" s="18">
        <f t="shared" si="2"/>
        <v>5</v>
      </c>
      <c r="W54" s="18" t="str">
        <f t="shared" si="3"/>
        <v>Internal</v>
      </c>
    </row>
    <row r="55">
      <c r="A55" s="117" t="s">
        <v>460</v>
      </c>
      <c r="B55" s="117" t="s">
        <v>174</v>
      </c>
      <c r="C55" s="117" t="s">
        <v>24</v>
      </c>
      <c r="D55" s="117" t="s">
        <v>91</v>
      </c>
      <c r="E55" s="117" t="s">
        <v>92</v>
      </c>
      <c r="F55" s="117" t="s">
        <v>461</v>
      </c>
      <c r="G55" s="117" t="s">
        <v>177</v>
      </c>
      <c r="H55" s="117" t="s">
        <v>462</v>
      </c>
      <c r="I55" s="119" t="s">
        <v>463</v>
      </c>
      <c r="J55" s="117" t="s">
        <v>29</v>
      </c>
      <c r="K55" s="117" t="s">
        <v>30</v>
      </c>
      <c r="L55" s="117" t="s">
        <v>103</v>
      </c>
      <c r="M55" s="117" t="s">
        <v>44</v>
      </c>
      <c r="N55" s="117" t="s">
        <v>96</v>
      </c>
      <c r="O55" s="117" t="s">
        <v>97</v>
      </c>
      <c r="P55" s="117" t="s">
        <v>151</v>
      </c>
      <c r="Q55" s="18" t="s">
        <v>464</v>
      </c>
      <c r="R55" s="18"/>
      <c r="S55" s="18" t="s">
        <v>37</v>
      </c>
      <c r="T55" s="120">
        <v>46156.0</v>
      </c>
      <c r="U55" s="18">
        <f t="shared" si="1"/>
        <v>2</v>
      </c>
      <c r="V55" s="18">
        <f t="shared" si="2"/>
        <v>5</v>
      </c>
      <c r="W55" s="18" t="str">
        <f t="shared" si="3"/>
        <v>Internal</v>
      </c>
    </row>
    <row r="56">
      <c r="A56" s="117" t="s">
        <v>465</v>
      </c>
      <c r="B56" s="117" t="s">
        <v>174</v>
      </c>
      <c r="C56" s="117" t="s">
        <v>24</v>
      </c>
      <c r="D56" s="117" t="s">
        <v>91</v>
      </c>
      <c r="E56" s="117" t="s">
        <v>92</v>
      </c>
      <c r="F56" s="117" t="s">
        <v>190</v>
      </c>
      <c r="G56" s="117" t="s">
        <v>177</v>
      </c>
      <c r="H56" s="117" t="s">
        <v>462</v>
      </c>
      <c r="I56" s="119" t="s">
        <v>466</v>
      </c>
      <c r="J56" s="117" t="s">
        <v>29</v>
      </c>
      <c r="K56" s="117" t="s">
        <v>30</v>
      </c>
      <c r="L56" s="117" t="s">
        <v>103</v>
      </c>
      <c r="M56" s="117" t="s">
        <v>44</v>
      </c>
      <c r="N56" s="117" t="s">
        <v>96</v>
      </c>
      <c r="O56" s="117" t="s">
        <v>300</v>
      </c>
      <c r="P56" s="117" t="s">
        <v>151</v>
      </c>
      <c r="Q56" s="18" t="s">
        <v>467</v>
      </c>
      <c r="R56" s="18"/>
      <c r="S56" s="18" t="s">
        <v>37</v>
      </c>
      <c r="T56" s="120">
        <v>46156.0</v>
      </c>
      <c r="U56" s="18">
        <f t="shared" si="1"/>
        <v>2</v>
      </c>
      <c r="V56" s="18">
        <f t="shared" si="2"/>
        <v>5</v>
      </c>
      <c r="W56" s="18" t="str">
        <f t="shared" si="3"/>
        <v>Internal</v>
      </c>
    </row>
    <row r="57">
      <c r="A57" s="123" t="s">
        <v>471</v>
      </c>
      <c r="B57" s="123" t="s">
        <v>23</v>
      </c>
      <c r="C57" s="123" t="s">
        <v>472</v>
      </c>
      <c r="D57" s="123"/>
      <c r="E57" s="123"/>
      <c r="F57" s="123" t="s">
        <v>716</v>
      </c>
      <c r="G57" s="123" t="s">
        <v>27</v>
      </c>
      <c r="H57" s="131">
        <v>46113.0</v>
      </c>
      <c r="I57" s="124" t="s">
        <v>717</v>
      </c>
      <c r="J57" s="123" t="s">
        <v>42</v>
      </c>
      <c r="K57" s="123" t="s">
        <v>30</v>
      </c>
      <c r="L57" s="123" t="s">
        <v>31</v>
      </c>
      <c r="M57" s="123" t="s">
        <v>33</v>
      </c>
      <c r="N57" s="123" t="s">
        <v>44</v>
      </c>
      <c r="O57" s="123" t="s">
        <v>34</v>
      </c>
      <c r="P57" s="123" t="s">
        <v>271</v>
      </c>
      <c r="Q57" s="18" t="s">
        <v>718</v>
      </c>
      <c r="R57" s="18" t="s">
        <v>719</v>
      </c>
      <c r="S57" s="18" t="s">
        <v>182</v>
      </c>
      <c r="T57" s="120"/>
      <c r="U57" s="18">
        <f t="shared" si="1"/>
        <v>3</v>
      </c>
      <c r="V57" s="18">
        <f t="shared" si="2"/>
        <v>1</v>
      </c>
      <c r="W57" s="18" t="str">
        <f t="shared" si="3"/>
        <v>External</v>
      </c>
    </row>
    <row r="58">
      <c r="A58" s="123" t="s">
        <v>478</v>
      </c>
      <c r="B58" s="123" t="s">
        <v>23</v>
      </c>
      <c r="C58" s="123" t="s">
        <v>472</v>
      </c>
      <c r="D58" s="123"/>
      <c r="E58" s="123"/>
      <c r="F58" s="123" t="s">
        <v>720</v>
      </c>
      <c r="G58" s="123" t="s">
        <v>27</v>
      </c>
      <c r="H58" s="131">
        <v>46022.0</v>
      </c>
      <c r="I58" s="124" t="s">
        <v>721</v>
      </c>
      <c r="J58" s="123" t="s">
        <v>42</v>
      </c>
      <c r="K58" s="123" t="s">
        <v>30</v>
      </c>
      <c r="L58" s="123" t="s">
        <v>31</v>
      </c>
      <c r="M58" s="123" t="s">
        <v>33</v>
      </c>
      <c r="N58" s="123"/>
      <c r="O58" s="123" t="s">
        <v>34</v>
      </c>
      <c r="P58" s="123" t="s">
        <v>271</v>
      </c>
      <c r="Q58" s="18" t="s">
        <v>722</v>
      </c>
      <c r="R58" s="18" t="s">
        <v>723</v>
      </c>
      <c r="S58" s="18" t="s">
        <v>182</v>
      </c>
      <c r="T58" s="120"/>
      <c r="U58" s="18">
        <f t="shared" si="1"/>
        <v>3</v>
      </c>
      <c r="V58" s="18">
        <f t="shared" si="2"/>
        <v>1</v>
      </c>
      <c r="W58" s="18" t="str">
        <f t="shared" si="3"/>
        <v>External</v>
      </c>
    </row>
    <row r="59">
      <c r="A59" s="123" t="s">
        <v>484</v>
      </c>
      <c r="B59" s="123" t="s">
        <v>23</v>
      </c>
      <c r="C59" s="123" t="s">
        <v>472</v>
      </c>
      <c r="D59" s="123"/>
      <c r="E59" s="123"/>
      <c r="F59" s="123" t="s">
        <v>724</v>
      </c>
      <c r="G59" s="123" t="s">
        <v>27</v>
      </c>
      <c r="H59" s="131">
        <v>46122.0</v>
      </c>
      <c r="I59" s="124" t="s">
        <v>725</v>
      </c>
      <c r="J59" s="123" t="s">
        <v>42</v>
      </c>
      <c r="K59" s="123" t="s">
        <v>30</v>
      </c>
      <c r="L59" s="123" t="s">
        <v>31</v>
      </c>
      <c r="M59" s="123" t="s">
        <v>33</v>
      </c>
      <c r="N59" s="123" t="s">
        <v>45</v>
      </c>
      <c r="O59" s="123" t="s">
        <v>34</v>
      </c>
      <c r="P59" s="123" t="s">
        <v>271</v>
      </c>
      <c r="Q59" s="18" t="s">
        <v>726</v>
      </c>
      <c r="R59" s="18" t="s">
        <v>727</v>
      </c>
      <c r="S59" s="18" t="s">
        <v>182</v>
      </c>
      <c r="T59" s="120"/>
      <c r="U59" s="18">
        <f t="shared" si="1"/>
        <v>3</v>
      </c>
      <c r="V59" s="18">
        <f t="shared" si="2"/>
        <v>1</v>
      </c>
      <c r="W59" s="18" t="str">
        <f t="shared" si="3"/>
        <v>External</v>
      </c>
    </row>
    <row r="60">
      <c r="A60" s="123" t="s">
        <v>490</v>
      </c>
      <c r="B60" s="123" t="s">
        <v>23</v>
      </c>
      <c r="C60" s="123" t="s">
        <v>472</v>
      </c>
      <c r="D60" s="123"/>
      <c r="E60" s="123"/>
      <c r="F60" s="123" t="s">
        <v>728</v>
      </c>
      <c r="G60" s="123" t="s">
        <v>27</v>
      </c>
      <c r="H60" s="131">
        <v>45120.0</v>
      </c>
      <c r="I60" s="124" t="s">
        <v>481</v>
      </c>
      <c r="J60" s="123" t="s">
        <v>42</v>
      </c>
      <c r="K60" s="123" t="s">
        <v>30</v>
      </c>
      <c r="L60" s="123" t="s">
        <v>31</v>
      </c>
      <c r="M60" s="123" t="s">
        <v>44</v>
      </c>
      <c r="N60" s="123" t="s">
        <v>45</v>
      </c>
      <c r="O60" s="123" t="s">
        <v>34</v>
      </c>
      <c r="P60" s="123" t="s">
        <v>271</v>
      </c>
      <c r="Q60" s="18" t="s">
        <v>729</v>
      </c>
      <c r="R60" s="18" t="s">
        <v>730</v>
      </c>
      <c r="S60" s="18" t="s">
        <v>182</v>
      </c>
      <c r="T60" s="120"/>
      <c r="U60" s="18">
        <f t="shared" si="1"/>
        <v>3</v>
      </c>
      <c r="V60" s="18">
        <f t="shared" si="2"/>
        <v>1</v>
      </c>
      <c r="W60" s="18" t="str">
        <f t="shared" si="3"/>
        <v>External</v>
      </c>
    </row>
    <row r="61">
      <c r="A61" s="123" t="s">
        <v>494</v>
      </c>
      <c r="B61" s="123" t="s">
        <v>23</v>
      </c>
      <c r="C61" s="123" t="s">
        <v>472</v>
      </c>
      <c r="D61" s="123"/>
      <c r="E61" s="123"/>
      <c r="F61" s="123" t="s">
        <v>731</v>
      </c>
      <c r="G61" s="123" t="s">
        <v>27</v>
      </c>
      <c r="H61" s="131">
        <v>45864.0</v>
      </c>
      <c r="I61" s="124" t="s">
        <v>732</v>
      </c>
      <c r="J61" s="123" t="s">
        <v>42</v>
      </c>
      <c r="K61" s="123" t="s">
        <v>30</v>
      </c>
      <c r="L61" s="123" t="s">
        <v>31</v>
      </c>
      <c r="M61" s="123" t="s">
        <v>32</v>
      </c>
      <c r="N61" s="123" t="s">
        <v>59</v>
      </c>
      <c r="O61" s="123" t="s">
        <v>34</v>
      </c>
      <c r="P61" s="123" t="s">
        <v>271</v>
      </c>
      <c r="Q61" s="18" t="s">
        <v>733</v>
      </c>
      <c r="R61" s="18" t="s">
        <v>734</v>
      </c>
      <c r="S61" s="18" t="s">
        <v>182</v>
      </c>
      <c r="T61" s="120"/>
      <c r="U61" s="18">
        <f t="shared" si="1"/>
        <v>3</v>
      </c>
      <c r="V61" s="18">
        <f t="shared" si="2"/>
        <v>1</v>
      </c>
      <c r="W61" s="18" t="str">
        <f t="shared" si="3"/>
        <v>External</v>
      </c>
    </row>
    <row r="62">
      <c r="A62" s="123" t="s">
        <v>499</v>
      </c>
      <c r="B62" s="123" t="s">
        <v>286</v>
      </c>
      <c r="C62" s="123" t="s">
        <v>472</v>
      </c>
      <c r="D62" s="123"/>
      <c r="E62" s="123"/>
      <c r="F62" s="123" t="s">
        <v>735</v>
      </c>
      <c r="G62" s="123" t="s">
        <v>51</v>
      </c>
      <c r="H62" s="131">
        <v>45917.0</v>
      </c>
      <c r="I62" s="124" t="s">
        <v>736</v>
      </c>
      <c r="J62" s="123" t="s">
        <v>42</v>
      </c>
      <c r="K62" s="123" t="s">
        <v>30</v>
      </c>
      <c r="L62" s="123" t="s">
        <v>31</v>
      </c>
      <c r="M62" s="123" t="s">
        <v>44</v>
      </c>
      <c r="N62" s="123" t="s">
        <v>45</v>
      </c>
      <c r="O62" s="123" t="s">
        <v>34</v>
      </c>
      <c r="P62" s="123" t="s">
        <v>271</v>
      </c>
      <c r="Q62" s="18" t="s">
        <v>737</v>
      </c>
      <c r="R62" s="18" t="s">
        <v>738</v>
      </c>
      <c r="S62" s="18"/>
      <c r="T62" s="120"/>
      <c r="U62" s="18">
        <f t="shared" si="1"/>
        <v>3</v>
      </c>
      <c r="V62" s="18">
        <f t="shared" si="2"/>
        <v>2</v>
      </c>
      <c r="W62" s="18" t="str">
        <f t="shared" si="3"/>
        <v>External</v>
      </c>
    </row>
    <row r="63">
      <c r="A63" s="123" t="s">
        <v>505</v>
      </c>
      <c r="B63" s="123" t="s">
        <v>286</v>
      </c>
      <c r="C63" s="123" t="s">
        <v>472</v>
      </c>
      <c r="D63" s="123"/>
      <c r="E63" s="123"/>
      <c r="F63" s="123" t="s">
        <v>739</v>
      </c>
      <c r="G63" s="123" t="s">
        <v>51</v>
      </c>
      <c r="H63" s="131">
        <v>45597.0</v>
      </c>
      <c r="I63" s="124" t="s">
        <v>740</v>
      </c>
      <c r="J63" s="123" t="s">
        <v>42</v>
      </c>
      <c r="K63" s="123" t="s">
        <v>30</v>
      </c>
      <c r="L63" s="123" t="s">
        <v>31</v>
      </c>
      <c r="M63" s="123" t="s">
        <v>44</v>
      </c>
      <c r="N63" s="123" t="s">
        <v>45</v>
      </c>
      <c r="O63" s="123" t="s">
        <v>34</v>
      </c>
      <c r="P63" s="123" t="s">
        <v>271</v>
      </c>
      <c r="Q63" s="18" t="s">
        <v>741</v>
      </c>
      <c r="R63" s="18" t="s">
        <v>742</v>
      </c>
      <c r="S63" s="18"/>
      <c r="T63" s="120"/>
      <c r="U63" s="18">
        <f t="shared" si="1"/>
        <v>3</v>
      </c>
      <c r="V63" s="18">
        <f t="shared" si="2"/>
        <v>2</v>
      </c>
      <c r="W63" s="18" t="str">
        <f t="shared" si="3"/>
        <v>External</v>
      </c>
    </row>
    <row r="64">
      <c r="A64" s="123" t="s">
        <v>510</v>
      </c>
      <c r="B64" s="123" t="s">
        <v>286</v>
      </c>
      <c r="C64" s="123" t="s">
        <v>472</v>
      </c>
      <c r="D64" s="123"/>
      <c r="E64" s="123"/>
      <c r="F64" s="123" t="s">
        <v>491</v>
      </c>
      <c r="G64" s="123" t="s">
        <v>27</v>
      </c>
      <c r="H64" s="131">
        <v>45992.0</v>
      </c>
      <c r="I64" s="124" t="s">
        <v>492</v>
      </c>
      <c r="J64" s="123" t="s">
        <v>42</v>
      </c>
      <c r="K64" s="123" t="s">
        <v>58</v>
      </c>
      <c r="L64" s="123" t="s">
        <v>31</v>
      </c>
      <c r="M64" s="123" t="s">
        <v>32</v>
      </c>
      <c r="N64" s="123" t="s">
        <v>59</v>
      </c>
      <c r="O64" s="123" t="s">
        <v>34</v>
      </c>
      <c r="P64" s="123" t="s">
        <v>271</v>
      </c>
      <c r="Q64" s="18" t="s">
        <v>743</v>
      </c>
      <c r="R64" s="18" t="s">
        <v>744</v>
      </c>
      <c r="S64" s="18"/>
      <c r="T64" s="120"/>
      <c r="U64" s="18">
        <f t="shared" si="1"/>
        <v>3</v>
      </c>
      <c r="V64" s="18">
        <f t="shared" si="2"/>
        <v>2</v>
      </c>
      <c r="W64" s="18" t="str">
        <f t="shared" si="3"/>
        <v>External</v>
      </c>
    </row>
    <row r="65">
      <c r="A65" s="123" t="s">
        <v>515</v>
      </c>
      <c r="B65" s="123" t="s">
        <v>286</v>
      </c>
      <c r="C65" s="123" t="s">
        <v>472</v>
      </c>
      <c r="D65" s="123"/>
      <c r="E65" s="123"/>
      <c r="F65" s="123" t="s">
        <v>486</v>
      </c>
      <c r="G65" s="123" t="s">
        <v>27</v>
      </c>
      <c r="H65" s="131">
        <v>45992.0</v>
      </c>
      <c r="I65" s="124" t="s">
        <v>487</v>
      </c>
      <c r="J65" s="123" t="s">
        <v>42</v>
      </c>
      <c r="K65" s="123" t="s">
        <v>58</v>
      </c>
      <c r="L65" s="123" t="s">
        <v>31</v>
      </c>
      <c r="M65" s="123" t="s">
        <v>32</v>
      </c>
      <c r="N65" s="123" t="s">
        <v>59</v>
      </c>
      <c r="O65" s="123" t="s">
        <v>34</v>
      </c>
      <c r="P65" s="123" t="s">
        <v>271</v>
      </c>
      <c r="Q65" s="18" t="s">
        <v>745</v>
      </c>
      <c r="R65" s="18" t="s">
        <v>746</v>
      </c>
      <c r="S65" s="18"/>
      <c r="T65" s="120"/>
      <c r="U65" s="18">
        <f t="shared" si="1"/>
        <v>3</v>
      </c>
      <c r="V65" s="18">
        <f t="shared" si="2"/>
        <v>2</v>
      </c>
      <c r="W65" s="18" t="str">
        <f t="shared" si="3"/>
        <v>External</v>
      </c>
    </row>
    <row r="66">
      <c r="A66" s="123" t="s">
        <v>521</v>
      </c>
      <c r="B66" s="123" t="s">
        <v>286</v>
      </c>
      <c r="C66" s="123" t="s">
        <v>472</v>
      </c>
      <c r="D66" s="123"/>
      <c r="E66" s="123"/>
      <c r="F66" s="123" t="s">
        <v>747</v>
      </c>
      <c r="G66" s="123" t="s">
        <v>27</v>
      </c>
      <c r="H66" s="131">
        <v>45978.0</v>
      </c>
      <c r="I66" s="124" t="s">
        <v>748</v>
      </c>
      <c r="J66" s="123" t="s">
        <v>42</v>
      </c>
      <c r="K66" s="123" t="s">
        <v>30</v>
      </c>
      <c r="L66" s="123" t="s">
        <v>31</v>
      </c>
      <c r="M66" s="123" t="s">
        <v>44</v>
      </c>
      <c r="N66" s="123" t="s">
        <v>45</v>
      </c>
      <c r="O66" s="123" t="s">
        <v>34</v>
      </c>
      <c r="P66" s="123" t="s">
        <v>271</v>
      </c>
      <c r="Q66" s="18" t="s">
        <v>749</v>
      </c>
      <c r="R66" s="18" t="s">
        <v>750</v>
      </c>
      <c r="S66" s="18" t="s">
        <v>182</v>
      </c>
      <c r="T66" s="120"/>
      <c r="U66" s="18">
        <f t="shared" si="1"/>
        <v>3</v>
      </c>
      <c r="V66" s="18">
        <f t="shared" si="2"/>
        <v>2</v>
      </c>
      <c r="W66" s="18" t="str">
        <f t="shared" si="3"/>
        <v>External</v>
      </c>
    </row>
    <row r="67">
      <c r="A67" s="123" t="s">
        <v>527</v>
      </c>
      <c r="B67" s="123" t="s">
        <v>90</v>
      </c>
      <c r="C67" s="123" t="s">
        <v>472</v>
      </c>
      <c r="D67" s="123"/>
      <c r="E67" s="123" t="s">
        <v>523</v>
      </c>
      <c r="F67" s="123" t="s">
        <v>751</v>
      </c>
      <c r="G67" s="123" t="s">
        <v>27</v>
      </c>
      <c r="H67" s="123">
        <v>2026.0</v>
      </c>
      <c r="I67" s="124" t="s">
        <v>535</v>
      </c>
      <c r="J67" s="123" t="s">
        <v>57</v>
      </c>
      <c r="K67" s="123" t="s">
        <v>82</v>
      </c>
      <c r="L67" s="123" t="s">
        <v>306</v>
      </c>
      <c r="M67" s="123" t="s">
        <v>96</v>
      </c>
      <c r="N67" s="123" t="s">
        <v>32</v>
      </c>
      <c r="O67" s="123" t="s">
        <v>97</v>
      </c>
      <c r="P67" s="123" t="s">
        <v>314</v>
      </c>
      <c r="Q67" s="18" t="s">
        <v>752</v>
      </c>
      <c r="R67" s="18" t="s">
        <v>753</v>
      </c>
      <c r="S67" s="18"/>
      <c r="T67" s="120"/>
      <c r="U67" s="18">
        <f t="shared" si="1"/>
        <v>1</v>
      </c>
      <c r="V67" s="18">
        <f t="shared" si="2"/>
        <v>3</v>
      </c>
      <c r="W67" s="18" t="str">
        <f t="shared" si="3"/>
        <v>Internal</v>
      </c>
    </row>
    <row r="68">
      <c r="A68" s="123" t="s">
        <v>532</v>
      </c>
      <c r="B68" s="123" t="s">
        <v>90</v>
      </c>
      <c r="C68" s="123" t="s">
        <v>472</v>
      </c>
      <c r="D68" s="123"/>
      <c r="E68" s="123" t="s">
        <v>523</v>
      </c>
      <c r="F68" s="123" t="s">
        <v>538</v>
      </c>
      <c r="G68" s="123" t="s">
        <v>27</v>
      </c>
      <c r="H68" s="123" t="s">
        <v>754</v>
      </c>
      <c r="I68" s="124" t="s">
        <v>539</v>
      </c>
      <c r="J68" s="123" t="s">
        <v>42</v>
      </c>
      <c r="K68" s="123" t="s">
        <v>58</v>
      </c>
      <c r="L68" s="123" t="s">
        <v>306</v>
      </c>
      <c r="M68" s="123" t="s">
        <v>59</v>
      </c>
      <c r="N68" s="123" t="s">
        <v>32</v>
      </c>
      <c r="O68" s="123" t="s">
        <v>34</v>
      </c>
      <c r="P68" s="123" t="s">
        <v>314</v>
      </c>
      <c r="Q68" s="18" t="s">
        <v>755</v>
      </c>
      <c r="R68" s="18" t="s">
        <v>756</v>
      </c>
      <c r="S68" s="18"/>
      <c r="T68" s="120"/>
      <c r="U68" s="18">
        <f t="shared" si="1"/>
        <v>3</v>
      </c>
      <c r="V68" s="18">
        <f t="shared" si="2"/>
        <v>3</v>
      </c>
      <c r="W68" s="18" t="str">
        <f t="shared" si="3"/>
        <v>Internal</v>
      </c>
    </row>
    <row r="69">
      <c r="A69" s="123" t="s">
        <v>537</v>
      </c>
      <c r="B69" s="123" t="s">
        <v>90</v>
      </c>
      <c r="C69" s="123" t="s">
        <v>472</v>
      </c>
      <c r="D69" s="123"/>
      <c r="E69" s="123" t="s">
        <v>523</v>
      </c>
      <c r="F69" s="123" t="s">
        <v>543</v>
      </c>
      <c r="G69" s="123" t="s">
        <v>27</v>
      </c>
      <c r="H69" s="131">
        <v>45908.0</v>
      </c>
      <c r="I69" s="124" t="s">
        <v>757</v>
      </c>
      <c r="J69" s="123" t="s">
        <v>57</v>
      </c>
      <c r="K69" s="123" t="s">
        <v>82</v>
      </c>
      <c r="L69" s="123" t="s">
        <v>306</v>
      </c>
      <c r="M69" s="123" t="s">
        <v>96</v>
      </c>
      <c r="N69" s="123" t="s">
        <v>32</v>
      </c>
      <c r="O69" s="123" t="s">
        <v>97</v>
      </c>
      <c r="P69" s="123" t="s">
        <v>758</v>
      </c>
      <c r="Q69" s="18" t="s">
        <v>759</v>
      </c>
      <c r="R69" s="18" t="s">
        <v>760</v>
      </c>
      <c r="S69" s="18" t="s">
        <v>182</v>
      </c>
      <c r="T69" s="120"/>
      <c r="U69" s="18">
        <f t="shared" si="1"/>
        <v>1</v>
      </c>
      <c r="V69" s="18">
        <f t="shared" si="2"/>
        <v>3</v>
      </c>
      <c r="W69" s="18" t="str">
        <f t="shared" si="3"/>
        <v>Internal</v>
      </c>
    </row>
    <row r="70">
      <c r="A70" s="123" t="s">
        <v>541</v>
      </c>
      <c r="B70" s="123" t="s">
        <v>90</v>
      </c>
      <c r="C70" s="123" t="s">
        <v>472</v>
      </c>
      <c r="D70" s="123"/>
      <c r="E70" s="123" t="s">
        <v>523</v>
      </c>
      <c r="F70" s="123" t="s">
        <v>548</v>
      </c>
      <c r="G70" s="123" t="s">
        <v>27</v>
      </c>
      <c r="H70" s="131">
        <v>46156.0</v>
      </c>
      <c r="I70" s="124" t="s">
        <v>549</v>
      </c>
      <c r="J70" s="123" t="s">
        <v>57</v>
      </c>
      <c r="K70" s="123" t="s">
        <v>58</v>
      </c>
      <c r="L70" s="123" t="s">
        <v>306</v>
      </c>
      <c r="M70" s="123" t="s">
        <v>96</v>
      </c>
      <c r="N70" s="123" t="s">
        <v>32</v>
      </c>
      <c r="O70" s="123" t="s">
        <v>34</v>
      </c>
      <c r="P70" s="123" t="s">
        <v>314</v>
      </c>
      <c r="Q70" s="18" t="s">
        <v>761</v>
      </c>
      <c r="R70" s="18" t="s">
        <v>762</v>
      </c>
      <c r="S70" s="18" t="s">
        <v>219</v>
      </c>
      <c r="T70" s="120"/>
      <c r="U70" s="18">
        <f t="shared" si="1"/>
        <v>1</v>
      </c>
      <c r="V70" s="18">
        <f t="shared" si="2"/>
        <v>3</v>
      </c>
      <c r="W70" s="18" t="str">
        <f t="shared" si="3"/>
        <v>Internal</v>
      </c>
    </row>
    <row r="71">
      <c r="A71" s="123" t="s">
        <v>546</v>
      </c>
      <c r="B71" s="123" t="s">
        <v>90</v>
      </c>
      <c r="C71" s="123" t="s">
        <v>472</v>
      </c>
      <c r="D71" s="123"/>
      <c r="E71" s="123" t="s">
        <v>523</v>
      </c>
      <c r="F71" s="123" t="s">
        <v>763</v>
      </c>
      <c r="G71" s="123" t="s">
        <v>27</v>
      </c>
      <c r="H71" s="123">
        <v>2025.0</v>
      </c>
      <c r="I71" s="124" t="s">
        <v>764</v>
      </c>
      <c r="J71" s="123" t="s">
        <v>42</v>
      </c>
      <c r="K71" s="123" t="s">
        <v>30</v>
      </c>
      <c r="L71" s="123" t="s">
        <v>313</v>
      </c>
      <c r="M71" s="123" t="s">
        <v>44</v>
      </c>
      <c r="N71" s="123" t="s">
        <v>45</v>
      </c>
      <c r="O71" s="123" t="s">
        <v>34</v>
      </c>
      <c r="P71" s="123" t="s">
        <v>111</v>
      </c>
      <c r="Q71" s="18" t="s">
        <v>765</v>
      </c>
      <c r="R71" s="18" t="s">
        <v>766</v>
      </c>
      <c r="S71" s="18" t="s">
        <v>182</v>
      </c>
      <c r="T71" s="120"/>
      <c r="U71" s="18">
        <f t="shared" si="1"/>
        <v>3</v>
      </c>
      <c r="V71" s="18">
        <f t="shared" si="2"/>
        <v>3</v>
      </c>
      <c r="W71" s="18" t="str">
        <f t="shared" si="3"/>
        <v>Internal</v>
      </c>
    </row>
    <row r="72">
      <c r="A72" s="123" t="s">
        <v>551</v>
      </c>
      <c r="B72" s="123" t="s">
        <v>352</v>
      </c>
      <c r="C72" s="123" t="s">
        <v>472</v>
      </c>
      <c r="D72" s="123"/>
      <c r="E72" s="123" t="s">
        <v>523</v>
      </c>
      <c r="F72" s="123" t="s">
        <v>767</v>
      </c>
      <c r="G72" s="123" t="s">
        <v>27</v>
      </c>
      <c r="H72" s="131">
        <v>45992.0</v>
      </c>
      <c r="I72" s="124" t="s">
        <v>768</v>
      </c>
      <c r="J72" s="123" t="s">
        <v>29</v>
      </c>
      <c r="K72" s="123" t="s">
        <v>82</v>
      </c>
      <c r="L72" s="123" t="s">
        <v>306</v>
      </c>
      <c r="M72" s="123" t="s">
        <v>32</v>
      </c>
      <c r="N72" s="123" t="s">
        <v>96</v>
      </c>
      <c r="O72" s="123" t="s">
        <v>97</v>
      </c>
      <c r="P72" s="123" t="s">
        <v>314</v>
      </c>
      <c r="Q72" s="18" t="s">
        <v>769</v>
      </c>
      <c r="R72" s="18" t="s">
        <v>770</v>
      </c>
      <c r="S72" s="18" t="s">
        <v>182</v>
      </c>
      <c r="T72" s="120"/>
      <c r="U72" s="18">
        <f t="shared" si="1"/>
        <v>2</v>
      </c>
      <c r="V72" s="18">
        <f t="shared" si="2"/>
        <v>4</v>
      </c>
      <c r="W72" s="18" t="str">
        <f t="shared" si="3"/>
        <v>Internal</v>
      </c>
    </row>
    <row r="73">
      <c r="A73" s="123" t="s">
        <v>556</v>
      </c>
      <c r="B73" s="123" t="s">
        <v>352</v>
      </c>
      <c r="C73" s="123" t="s">
        <v>472</v>
      </c>
      <c r="D73" s="123"/>
      <c r="E73" s="123" t="s">
        <v>523</v>
      </c>
      <c r="F73" s="123" t="s">
        <v>771</v>
      </c>
      <c r="G73" s="123" t="s">
        <v>94</v>
      </c>
      <c r="H73" s="131">
        <v>45146.0</v>
      </c>
      <c r="I73" s="124" t="s">
        <v>568</v>
      </c>
      <c r="J73" s="123" t="s">
        <v>29</v>
      </c>
      <c r="K73" s="123" t="s">
        <v>30</v>
      </c>
      <c r="L73" s="123" t="s">
        <v>313</v>
      </c>
      <c r="M73" s="123" t="s">
        <v>96</v>
      </c>
      <c r="N73" s="123"/>
      <c r="O73" s="123" t="s">
        <v>97</v>
      </c>
      <c r="P73" s="123" t="s">
        <v>314</v>
      </c>
      <c r="Q73" s="18" t="s">
        <v>569</v>
      </c>
      <c r="R73" s="18" t="s">
        <v>570</v>
      </c>
      <c r="S73" s="18" t="s">
        <v>182</v>
      </c>
      <c r="T73" s="120"/>
      <c r="U73" s="18">
        <f t="shared" si="1"/>
        <v>2</v>
      </c>
      <c r="V73" s="18">
        <f t="shared" si="2"/>
        <v>4</v>
      </c>
      <c r="W73" s="18" t="str">
        <f t="shared" si="3"/>
        <v>Internal</v>
      </c>
    </row>
    <row r="74">
      <c r="A74" s="123" t="s">
        <v>560</v>
      </c>
      <c r="B74" s="123" t="s">
        <v>352</v>
      </c>
      <c r="C74" s="123" t="s">
        <v>472</v>
      </c>
      <c r="D74" s="123"/>
      <c r="E74" s="123" t="s">
        <v>523</v>
      </c>
      <c r="F74" s="123" t="s">
        <v>772</v>
      </c>
      <c r="G74" s="123" t="s">
        <v>27</v>
      </c>
      <c r="H74" s="123">
        <v>2026.0</v>
      </c>
      <c r="I74" s="124" t="s">
        <v>773</v>
      </c>
      <c r="J74" s="123" t="s">
        <v>42</v>
      </c>
      <c r="K74" s="123" t="s">
        <v>30</v>
      </c>
      <c r="L74" s="123" t="s">
        <v>30</v>
      </c>
      <c r="M74" s="123" t="s">
        <v>32</v>
      </c>
      <c r="N74" s="123" t="s">
        <v>59</v>
      </c>
      <c r="O74" s="123" t="s">
        <v>97</v>
      </c>
      <c r="P74" s="123" t="s">
        <v>151</v>
      </c>
      <c r="Q74" s="18" t="s">
        <v>774</v>
      </c>
      <c r="R74" s="18" t="s">
        <v>775</v>
      </c>
      <c r="S74" s="18" t="s">
        <v>182</v>
      </c>
      <c r="T74" s="120"/>
      <c r="U74" s="18">
        <f t="shared" si="1"/>
        <v>3</v>
      </c>
      <c r="V74" s="18">
        <f t="shared" si="2"/>
        <v>4</v>
      </c>
      <c r="W74" s="18" t="str">
        <f t="shared" si="3"/>
        <v>Internal</v>
      </c>
    </row>
    <row r="75">
      <c r="A75" s="123" t="s">
        <v>565</v>
      </c>
      <c r="B75" s="123" t="s">
        <v>352</v>
      </c>
      <c r="C75" s="123" t="s">
        <v>472</v>
      </c>
      <c r="D75" s="123"/>
      <c r="E75" s="123" t="s">
        <v>523</v>
      </c>
      <c r="F75" s="123" t="s">
        <v>776</v>
      </c>
      <c r="G75" s="123" t="s">
        <v>27</v>
      </c>
      <c r="H75" s="123" t="s">
        <v>754</v>
      </c>
      <c r="I75" s="124" t="s">
        <v>777</v>
      </c>
      <c r="J75" s="123" t="s">
        <v>57</v>
      </c>
      <c r="K75" s="123" t="s">
        <v>30</v>
      </c>
      <c r="L75" s="123" t="s">
        <v>306</v>
      </c>
      <c r="M75" s="123" t="s">
        <v>96</v>
      </c>
      <c r="N75" s="123"/>
      <c r="O75" s="123" t="s">
        <v>110</v>
      </c>
      <c r="P75" s="123" t="s">
        <v>151</v>
      </c>
      <c r="Q75" s="18" t="s">
        <v>778</v>
      </c>
      <c r="R75" s="18" t="s">
        <v>779</v>
      </c>
      <c r="S75" s="18" t="s">
        <v>182</v>
      </c>
      <c r="T75" s="120"/>
      <c r="U75" s="18">
        <f t="shared" si="1"/>
        <v>1</v>
      </c>
      <c r="V75" s="18">
        <f t="shared" si="2"/>
        <v>4</v>
      </c>
      <c r="W75" s="18" t="str">
        <f t="shared" si="3"/>
        <v>Internal</v>
      </c>
    </row>
    <row r="76">
      <c r="A76" s="123" t="s">
        <v>571</v>
      </c>
      <c r="B76" s="123" t="s">
        <v>352</v>
      </c>
      <c r="C76" s="123" t="s">
        <v>472</v>
      </c>
      <c r="D76" s="123"/>
      <c r="E76" s="123" t="s">
        <v>523</v>
      </c>
      <c r="F76" s="123" t="s">
        <v>780</v>
      </c>
      <c r="G76" s="123" t="s">
        <v>132</v>
      </c>
      <c r="H76" s="123">
        <v>2026.0</v>
      </c>
      <c r="I76" s="124" t="s">
        <v>781</v>
      </c>
      <c r="J76" s="123" t="s">
        <v>42</v>
      </c>
      <c r="K76" s="123" t="s">
        <v>82</v>
      </c>
      <c r="L76" s="123" t="s">
        <v>313</v>
      </c>
      <c r="M76" s="123" t="s">
        <v>45</v>
      </c>
      <c r="N76" s="123" t="s">
        <v>44</v>
      </c>
      <c r="O76" s="123" t="s">
        <v>97</v>
      </c>
      <c r="P76" s="123" t="s">
        <v>314</v>
      </c>
      <c r="Q76" s="18" t="s">
        <v>782</v>
      </c>
      <c r="R76" s="18" t="s">
        <v>783</v>
      </c>
      <c r="S76" s="18" t="s">
        <v>182</v>
      </c>
      <c r="T76" s="120"/>
      <c r="U76" s="18">
        <f t="shared" si="1"/>
        <v>3</v>
      </c>
      <c r="V76" s="18">
        <f t="shared" si="2"/>
        <v>4</v>
      </c>
      <c r="W76" s="18" t="str">
        <f t="shared" si="3"/>
        <v>Internal</v>
      </c>
    </row>
    <row r="77">
      <c r="A77" s="123" t="s">
        <v>576</v>
      </c>
      <c r="B77" s="123" t="s">
        <v>174</v>
      </c>
      <c r="C77" s="123" t="s">
        <v>472</v>
      </c>
      <c r="D77" s="123"/>
      <c r="E77" s="123" t="s">
        <v>523</v>
      </c>
      <c r="F77" s="123" t="s">
        <v>784</v>
      </c>
      <c r="G77" s="123" t="s">
        <v>177</v>
      </c>
      <c r="H77" s="131">
        <v>46014.0</v>
      </c>
      <c r="I77" s="124" t="s">
        <v>785</v>
      </c>
      <c r="J77" s="123" t="s">
        <v>29</v>
      </c>
      <c r="K77" s="123" t="s">
        <v>30</v>
      </c>
      <c r="L77" s="123" t="s">
        <v>30</v>
      </c>
      <c r="M77" s="123" t="s">
        <v>33</v>
      </c>
      <c r="N77" s="123"/>
      <c r="O77" s="123" t="s">
        <v>300</v>
      </c>
      <c r="P77" s="123" t="s">
        <v>151</v>
      </c>
      <c r="Q77" s="18" t="s">
        <v>786</v>
      </c>
      <c r="R77" s="18" t="s">
        <v>787</v>
      </c>
      <c r="S77" s="18" t="s">
        <v>182</v>
      </c>
      <c r="T77" s="120"/>
      <c r="U77" s="18">
        <f t="shared" si="1"/>
        <v>2</v>
      </c>
      <c r="V77" s="18">
        <f t="shared" si="2"/>
        <v>5</v>
      </c>
      <c r="W77" s="18" t="str">
        <f t="shared" si="3"/>
        <v>Internal</v>
      </c>
    </row>
    <row r="78">
      <c r="A78" s="123" t="s">
        <v>582</v>
      </c>
      <c r="B78" s="123" t="s">
        <v>174</v>
      </c>
      <c r="C78" s="123" t="s">
        <v>472</v>
      </c>
      <c r="D78" s="123"/>
      <c r="E78" s="123" t="s">
        <v>523</v>
      </c>
      <c r="F78" s="123" t="s">
        <v>788</v>
      </c>
      <c r="G78" s="123" t="s">
        <v>177</v>
      </c>
      <c r="H78" s="123">
        <v>2025.0</v>
      </c>
      <c r="I78" s="124" t="s">
        <v>789</v>
      </c>
      <c r="J78" s="123" t="s">
        <v>57</v>
      </c>
      <c r="K78" s="123" t="s">
        <v>82</v>
      </c>
      <c r="L78" s="123" t="s">
        <v>103</v>
      </c>
      <c r="M78" s="123" t="s">
        <v>96</v>
      </c>
      <c r="N78" s="123" t="s">
        <v>44</v>
      </c>
      <c r="O78" s="123" t="s">
        <v>110</v>
      </c>
      <c r="P78" s="123" t="s">
        <v>151</v>
      </c>
      <c r="Q78" s="18" t="s">
        <v>790</v>
      </c>
      <c r="R78" s="18" t="s">
        <v>791</v>
      </c>
      <c r="S78" s="18" t="s">
        <v>182</v>
      </c>
      <c r="T78" s="120"/>
      <c r="U78" s="18">
        <f t="shared" si="1"/>
        <v>1</v>
      </c>
      <c r="V78" s="18">
        <f t="shared" si="2"/>
        <v>5</v>
      </c>
      <c r="W78" s="18" t="str">
        <f t="shared" si="3"/>
        <v>Internal</v>
      </c>
    </row>
    <row r="79">
      <c r="A79" s="123" t="s">
        <v>588</v>
      </c>
      <c r="B79" s="123" t="s">
        <v>174</v>
      </c>
      <c r="C79" s="123" t="s">
        <v>472</v>
      </c>
      <c r="D79" s="123"/>
      <c r="E79" s="123" t="s">
        <v>523</v>
      </c>
      <c r="F79" s="123" t="s">
        <v>792</v>
      </c>
      <c r="G79" s="123" t="s">
        <v>177</v>
      </c>
      <c r="H79" s="123">
        <v>2024.0</v>
      </c>
      <c r="I79" s="124" t="s">
        <v>793</v>
      </c>
      <c r="J79" s="123" t="s">
        <v>57</v>
      </c>
      <c r="K79" s="123" t="s">
        <v>82</v>
      </c>
      <c r="L79" s="123" t="s">
        <v>103</v>
      </c>
      <c r="M79" s="123" t="s">
        <v>96</v>
      </c>
      <c r="N79" s="123" t="s">
        <v>44</v>
      </c>
      <c r="O79" s="123" t="s">
        <v>110</v>
      </c>
      <c r="P79" s="123" t="s">
        <v>151</v>
      </c>
      <c r="Q79" s="18" t="s">
        <v>794</v>
      </c>
      <c r="R79" s="18" t="s">
        <v>795</v>
      </c>
      <c r="S79" s="18" t="s">
        <v>182</v>
      </c>
      <c r="T79" s="120"/>
      <c r="U79" s="18">
        <f t="shared" si="1"/>
        <v>1</v>
      </c>
      <c r="V79" s="18">
        <f t="shared" si="2"/>
        <v>5</v>
      </c>
      <c r="W79" s="18" t="str">
        <f t="shared" si="3"/>
        <v>Internal</v>
      </c>
    </row>
    <row r="80">
      <c r="A80" s="123" t="s">
        <v>592</v>
      </c>
      <c r="B80" s="123" t="s">
        <v>174</v>
      </c>
      <c r="C80" s="123" t="s">
        <v>472</v>
      </c>
      <c r="D80" s="123"/>
      <c r="E80" s="123" t="s">
        <v>523</v>
      </c>
      <c r="F80" s="123" t="s">
        <v>796</v>
      </c>
      <c r="G80" s="123" t="s">
        <v>177</v>
      </c>
      <c r="H80" s="123">
        <v>2025.0</v>
      </c>
      <c r="I80" s="124" t="s">
        <v>797</v>
      </c>
      <c r="J80" s="123" t="s">
        <v>29</v>
      </c>
      <c r="K80" s="123" t="s">
        <v>82</v>
      </c>
      <c r="L80" s="123" t="s">
        <v>103</v>
      </c>
      <c r="M80" s="123" t="s">
        <v>96</v>
      </c>
      <c r="N80" s="123"/>
      <c r="O80" s="123" t="s">
        <v>110</v>
      </c>
      <c r="P80" s="123" t="s">
        <v>151</v>
      </c>
      <c r="Q80" s="18" t="s">
        <v>798</v>
      </c>
      <c r="R80" s="18" t="s">
        <v>799</v>
      </c>
      <c r="S80" s="18" t="s">
        <v>182</v>
      </c>
      <c r="T80" s="120"/>
      <c r="U80" s="18">
        <f t="shared" si="1"/>
        <v>2</v>
      </c>
      <c r="V80" s="18">
        <f t="shared" si="2"/>
        <v>5</v>
      </c>
      <c r="W80" s="18" t="str">
        <f t="shared" si="3"/>
        <v>Internal</v>
      </c>
    </row>
    <row r="81">
      <c r="A81" s="123" t="s">
        <v>598</v>
      </c>
      <c r="B81" s="123" t="s">
        <v>174</v>
      </c>
      <c r="C81" s="123" t="s">
        <v>472</v>
      </c>
      <c r="D81" s="123"/>
      <c r="E81" s="123" t="s">
        <v>523</v>
      </c>
      <c r="F81" s="123" t="s">
        <v>800</v>
      </c>
      <c r="G81" s="123" t="s">
        <v>177</v>
      </c>
      <c r="H81" s="123">
        <v>2025.0</v>
      </c>
      <c r="I81" s="124" t="s">
        <v>801</v>
      </c>
      <c r="J81" s="123" t="s">
        <v>57</v>
      </c>
      <c r="K81" s="123" t="s">
        <v>82</v>
      </c>
      <c r="L81" s="123" t="s">
        <v>103</v>
      </c>
      <c r="M81" s="123" t="s">
        <v>96</v>
      </c>
      <c r="N81" s="123"/>
      <c r="O81" s="123" t="s">
        <v>110</v>
      </c>
      <c r="P81" s="123" t="s">
        <v>151</v>
      </c>
      <c r="Q81" s="18" t="s">
        <v>802</v>
      </c>
      <c r="R81" s="18" t="s">
        <v>803</v>
      </c>
      <c r="S81" s="18" t="s">
        <v>182</v>
      </c>
      <c r="T81" s="120"/>
      <c r="U81" s="18">
        <f t="shared" si="1"/>
        <v>1</v>
      </c>
      <c r="V81" s="18">
        <f t="shared" si="2"/>
        <v>5</v>
      </c>
      <c r="W81" s="18" t="str">
        <f t="shared" si="3"/>
        <v>Internal</v>
      </c>
    </row>
    <row r="82">
      <c r="A82" s="123" t="s">
        <v>604</v>
      </c>
      <c r="B82" s="123" t="s">
        <v>90</v>
      </c>
      <c r="C82" s="123" t="s">
        <v>472</v>
      </c>
      <c r="D82" s="123"/>
      <c r="E82" s="123" t="s">
        <v>627</v>
      </c>
      <c r="F82" s="123" t="s">
        <v>633</v>
      </c>
      <c r="G82" s="123" t="s">
        <v>27</v>
      </c>
      <c r="H82" s="131">
        <v>46023.0</v>
      </c>
      <c r="I82" s="124" t="s">
        <v>634</v>
      </c>
      <c r="J82" s="123" t="s">
        <v>42</v>
      </c>
      <c r="K82" s="123" t="s">
        <v>102</v>
      </c>
      <c r="L82" s="123" t="s">
        <v>306</v>
      </c>
      <c r="M82" s="123" t="s">
        <v>96</v>
      </c>
      <c r="N82" s="123" t="s">
        <v>32</v>
      </c>
      <c r="O82" s="123" t="s">
        <v>97</v>
      </c>
      <c r="P82" s="123" t="s">
        <v>151</v>
      </c>
      <c r="Q82" s="18" t="s">
        <v>804</v>
      </c>
      <c r="R82" s="18" t="s">
        <v>805</v>
      </c>
      <c r="S82" s="18" t="s">
        <v>219</v>
      </c>
      <c r="T82" s="120"/>
      <c r="U82" s="18">
        <f t="shared" si="1"/>
        <v>3</v>
      </c>
      <c r="V82" s="18">
        <f t="shared" si="2"/>
        <v>3</v>
      </c>
      <c r="W82" s="18" t="str">
        <f t="shared" si="3"/>
        <v>Internal</v>
      </c>
    </row>
    <row r="83">
      <c r="A83" s="123" t="s">
        <v>610</v>
      </c>
      <c r="B83" s="123" t="s">
        <v>90</v>
      </c>
      <c r="C83" s="123" t="s">
        <v>472</v>
      </c>
      <c r="D83" s="123" t="s">
        <v>807</v>
      </c>
      <c r="E83" s="123" t="s">
        <v>627</v>
      </c>
      <c r="F83" s="123" t="s">
        <v>808</v>
      </c>
      <c r="G83" s="123" t="s">
        <v>132</v>
      </c>
      <c r="H83" s="123">
        <v>2026.0</v>
      </c>
      <c r="I83" s="124" t="s">
        <v>656</v>
      </c>
      <c r="J83" s="123" t="s">
        <v>42</v>
      </c>
      <c r="K83" s="123" t="s">
        <v>30</v>
      </c>
      <c r="L83" s="123" t="s">
        <v>103</v>
      </c>
      <c r="M83" s="123" t="s">
        <v>44</v>
      </c>
      <c r="N83" s="123" t="s">
        <v>96</v>
      </c>
      <c r="O83" s="123" t="s">
        <v>34</v>
      </c>
      <c r="P83" s="123" t="s">
        <v>314</v>
      </c>
      <c r="Q83" s="18" t="s">
        <v>809</v>
      </c>
      <c r="R83" s="18" t="s">
        <v>810</v>
      </c>
      <c r="S83" s="18" t="s">
        <v>219</v>
      </c>
      <c r="T83" s="120"/>
      <c r="U83" s="18">
        <f t="shared" si="1"/>
        <v>3</v>
      </c>
      <c r="V83" s="18">
        <f t="shared" si="2"/>
        <v>3</v>
      </c>
      <c r="W83" s="18" t="str">
        <f t="shared" si="3"/>
        <v>Internal</v>
      </c>
    </row>
    <row r="84">
      <c r="A84" s="123" t="s">
        <v>613</v>
      </c>
      <c r="B84" s="123" t="s">
        <v>90</v>
      </c>
      <c r="C84" s="123" t="s">
        <v>472</v>
      </c>
      <c r="D84" s="123"/>
      <c r="E84" s="123" t="s">
        <v>627</v>
      </c>
      <c r="F84" s="123" t="s">
        <v>811</v>
      </c>
      <c r="G84" s="123" t="s">
        <v>71</v>
      </c>
      <c r="H84" s="123" t="s">
        <v>754</v>
      </c>
      <c r="I84" s="124" t="s">
        <v>812</v>
      </c>
      <c r="J84" s="123" t="s">
        <v>29</v>
      </c>
      <c r="K84" s="123" t="s">
        <v>82</v>
      </c>
      <c r="L84" s="123" t="s">
        <v>306</v>
      </c>
      <c r="M84" s="123" t="s">
        <v>96</v>
      </c>
      <c r="N84" s="123" t="s">
        <v>44</v>
      </c>
      <c r="O84" s="123" t="s">
        <v>110</v>
      </c>
      <c r="P84" s="123" t="s">
        <v>151</v>
      </c>
      <c r="Q84" s="18" t="s">
        <v>813</v>
      </c>
      <c r="R84" s="18"/>
      <c r="S84" s="18"/>
      <c r="T84" s="120"/>
      <c r="U84" s="18">
        <f t="shared" si="1"/>
        <v>2</v>
      </c>
      <c r="V84" s="18">
        <f t="shared" si="2"/>
        <v>3</v>
      </c>
      <c r="W84" s="18" t="str">
        <f t="shared" si="3"/>
        <v>Internal</v>
      </c>
    </row>
    <row r="85">
      <c r="A85" s="123" t="s">
        <v>619</v>
      </c>
      <c r="B85" s="123" t="s">
        <v>90</v>
      </c>
      <c r="C85" s="123" t="s">
        <v>472</v>
      </c>
      <c r="D85" s="123"/>
      <c r="E85" s="123" t="s">
        <v>627</v>
      </c>
      <c r="F85" s="123" t="s">
        <v>814</v>
      </c>
      <c r="G85" s="123" t="s">
        <v>27</v>
      </c>
      <c r="H85" s="131">
        <v>46143.0</v>
      </c>
      <c r="I85" s="124" t="s">
        <v>815</v>
      </c>
      <c r="J85" s="123" t="s">
        <v>29</v>
      </c>
      <c r="K85" s="123" t="s">
        <v>82</v>
      </c>
      <c r="L85" s="123" t="s">
        <v>103</v>
      </c>
      <c r="M85" s="123" t="s">
        <v>44</v>
      </c>
      <c r="N85" s="123" t="s">
        <v>96</v>
      </c>
      <c r="O85" s="123" t="s">
        <v>110</v>
      </c>
      <c r="P85" s="123" t="s">
        <v>151</v>
      </c>
      <c r="Q85" s="18" t="s">
        <v>816</v>
      </c>
      <c r="R85" s="18"/>
      <c r="S85" s="18"/>
      <c r="T85" s="120"/>
      <c r="U85" s="18">
        <f t="shared" si="1"/>
        <v>2</v>
      </c>
      <c r="V85" s="18">
        <f t="shared" si="2"/>
        <v>3</v>
      </c>
      <c r="W85" s="18" t="str">
        <f t="shared" si="3"/>
        <v>Internal</v>
      </c>
    </row>
    <row r="86">
      <c r="A86" s="123" t="s">
        <v>625</v>
      </c>
      <c r="B86" s="123" t="s">
        <v>90</v>
      </c>
      <c r="C86" s="123" t="s">
        <v>472</v>
      </c>
      <c r="D86" s="123" t="s">
        <v>817</v>
      </c>
      <c r="E86" s="123" t="s">
        <v>627</v>
      </c>
      <c r="F86" s="123" t="s">
        <v>818</v>
      </c>
      <c r="G86" s="123" t="s">
        <v>27</v>
      </c>
      <c r="H86" s="131">
        <v>45926.0</v>
      </c>
      <c r="I86" s="124" t="s">
        <v>819</v>
      </c>
      <c r="J86" s="123" t="s">
        <v>57</v>
      </c>
      <c r="K86" s="123" t="s">
        <v>82</v>
      </c>
      <c r="L86" s="123" t="s">
        <v>313</v>
      </c>
      <c r="M86" s="123" t="s">
        <v>96</v>
      </c>
      <c r="N86" s="123"/>
      <c r="O86" s="123" t="s">
        <v>110</v>
      </c>
      <c r="P86" s="123" t="s">
        <v>151</v>
      </c>
      <c r="Q86" s="18" t="s">
        <v>820</v>
      </c>
      <c r="R86" s="18" t="s">
        <v>821</v>
      </c>
      <c r="S86" s="18"/>
      <c r="T86" s="120"/>
      <c r="U86" s="18">
        <f t="shared" si="1"/>
        <v>1</v>
      </c>
      <c r="V86" s="18">
        <f t="shared" si="2"/>
        <v>3</v>
      </c>
      <c r="W86" s="18" t="str">
        <f t="shared" si="3"/>
        <v>Internal</v>
      </c>
    </row>
    <row r="87">
      <c r="A87" s="123" t="s">
        <v>631</v>
      </c>
      <c r="B87" s="123" t="s">
        <v>352</v>
      </c>
      <c r="C87" s="123" t="s">
        <v>472</v>
      </c>
      <c r="D87" s="123" t="s">
        <v>822</v>
      </c>
      <c r="E87" s="123" t="s">
        <v>627</v>
      </c>
      <c r="F87" s="123" t="s">
        <v>823</v>
      </c>
      <c r="G87" s="123" t="s">
        <v>27</v>
      </c>
      <c r="H87" s="123">
        <v>2026.0</v>
      </c>
      <c r="I87" s="124" t="s">
        <v>824</v>
      </c>
      <c r="J87" s="123" t="s">
        <v>29</v>
      </c>
      <c r="K87" s="123" t="s">
        <v>82</v>
      </c>
      <c r="L87" s="123" t="s">
        <v>313</v>
      </c>
      <c r="M87" s="123" t="s">
        <v>96</v>
      </c>
      <c r="N87" s="123" t="s">
        <v>45</v>
      </c>
      <c r="O87" s="123" t="s">
        <v>34</v>
      </c>
      <c r="P87" s="123" t="s">
        <v>314</v>
      </c>
      <c r="Q87" s="18" t="s">
        <v>825</v>
      </c>
      <c r="R87" s="18" t="s">
        <v>826</v>
      </c>
      <c r="S87" s="18"/>
      <c r="T87" s="120"/>
      <c r="U87" s="18">
        <f t="shared" si="1"/>
        <v>2</v>
      </c>
      <c r="V87" s="18">
        <f t="shared" si="2"/>
        <v>4</v>
      </c>
      <c r="W87" s="18" t="str">
        <f t="shared" si="3"/>
        <v>Internal</v>
      </c>
    </row>
    <row r="88">
      <c r="A88" s="123" t="s">
        <v>636</v>
      </c>
      <c r="B88" s="123" t="s">
        <v>352</v>
      </c>
      <c r="C88" s="123" t="s">
        <v>472</v>
      </c>
      <c r="D88" s="123" t="s">
        <v>827</v>
      </c>
      <c r="E88" s="123" t="s">
        <v>627</v>
      </c>
      <c r="F88" s="123" t="s">
        <v>828</v>
      </c>
      <c r="G88" s="123" t="s">
        <v>132</v>
      </c>
      <c r="H88" s="123">
        <v>2026.0</v>
      </c>
      <c r="I88" s="124" t="s">
        <v>829</v>
      </c>
      <c r="J88" s="123" t="s">
        <v>42</v>
      </c>
      <c r="K88" s="123" t="s">
        <v>58</v>
      </c>
      <c r="L88" s="123" t="s">
        <v>313</v>
      </c>
      <c r="M88" s="123" t="s">
        <v>45</v>
      </c>
      <c r="N88" s="123" t="s">
        <v>96</v>
      </c>
      <c r="O88" s="123" t="s">
        <v>97</v>
      </c>
      <c r="P88" s="123" t="s">
        <v>314</v>
      </c>
      <c r="Q88" s="18" t="s">
        <v>830</v>
      </c>
      <c r="R88" s="18" t="s">
        <v>831</v>
      </c>
      <c r="S88" s="18"/>
      <c r="T88" s="120"/>
      <c r="U88" s="18">
        <f t="shared" si="1"/>
        <v>3</v>
      </c>
      <c r="V88" s="18">
        <f t="shared" si="2"/>
        <v>4</v>
      </c>
      <c r="W88" s="18" t="str">
        <f t="shared" si="3"/>
        <v>Internal</v>
      </c>
    </row>
    <row r="89">
      <c r="A89" s="123" t="s">
        <v>641</v>
      </c>
      <c r="B89" s="123" t="s">
        <v>352</v>
      </c>
      <c r="C89" s="123" t="s">
        <v>472</v>
      </c>
      <c r="D89" s="123" t="s">
        <v>827</v>
      </c>
      <c r="E89" s="123" t="s">
        <v>627</v>
      </c>
      <c r="F89" s="123" t="s">
        <v>832</v>
      </c>
      <c r="G89" s="123" t="s">
        <v>132</v>
      </c>
      <c r="H89" s="131">
        <v>45791.0</v>
      </c>
      <c r="I89" s="124" t="s">
        <v>833</v>
      </c>
      <c r="J89" s="123" t="s">
        <v>29</v>
      </c>
      <c r="K89" s="123" t="s">
        <v>82</v>
      </c>
      <c r="L89" s="123" t="s">
        <v>103</v>
      </c>
      <c r="M89" s="123" t="s">
        <v>44</v>
      </c>
      <c r="N89" s="123" t="s">
        <v>96</v>
      </c>
      <c r="O89" s="123" t="s">
        <v>110</v>
      </c>
      <c r="P89" s="123" t="s">
        <v>111</v>
      </c>
      <c r="Q89" s="18" t="s">
        <v>834</v>
      </c>
      <c r="R89" s="18" t="s">
        <v>835</v>
      </c>
      <c r="S89" s="18"/>
      <c r="T89" s="120"/>
      <c r="U89" s="18">
        <f t="shared" si="1"/>
        <v>2</v>
      </c>
      <c r="V89" s="18">
        <f t="shared" si="2"/>
        <v>4</v>
      </c>
      <c r="W89" s="18" t="str">
        <f t="shared" si="3"/>
        <v>Internal</v>
      </c>
    </row>
    <row r="90">
      <c r="A90" s="123" t="s">
        <v>647</v>
      </c>
      <c r="B90" s="123" t="s">
        <v>352</v>
      </c>
      <c r="C90" s="123" t="s">
        <v>472</v>
      </c>
      <c r="D90" s="123" t="s">
        <v>836</v>
      </c>
      <c r="E90" s="123" t="s">
        <v>627</v>
      </c>
      <c r="F90" s="123" t="s">
        <v>837</v>
      </c>
      <c r="G90" s="123" t="s">
        <v>27</v>
      </c>
      <c r="H90" s="131">
        <v>45901.0</v>
      </c>
      <c r="I90" s="124" t="s">
        <v>639</v>
      </c>
      <c r="J90" s="123" t="s">
        <v>29</v>
      </c>
      <c r="K90" s="123" t="s">
        <v>82</v>
      </c>
      <c r="L90" s="123" t="s">
        <v>313</v>
      </c>
      <c r="M90" s="123" t="s">
        <v>96</v>
      </c>
      <c r="N90" s="123" t="s">
        <v>45</v>
      </c>
      <c r="O90" s="123" t="s">
        <v>97</v>
      </c>
      <c r="P90" s="123" t="s">
        <v>151</v>
      </c>
      <c r="Q90" s="18" t="s">
        <v>838</v>
      </c>
      <c r="R90" s="18" t="s">
        <v>839</v>
      </c>
      <c r="S90" s="18"/>
      <c r="T90" s="120"/>
      <c r="U90" s="18">
        <f t="shared" si="1"/>
        <v>2</v>
      </c>
      <c r="V90" s="18">
        <f t="shared" si="2"/>
        <v>4</v>
      </c>
      <c r="W90" s="18" t="str">
        <f t="shared" si="3"/>
        <v>Internal</v>
      </c>
    </row>
    <row r="91">
      <c r="A91" s="123" t="s">
        <v>653</v>
      </c>
      <c r="B91" s="123" t="s">
        <v>352</v>
      </c>
      <c r="C91" s="123" t="s">
        <v>472</v>
      </c>
      <c r="D91" s="123" t="s">
        <v>840</v>
      </c>
      <c r="E91" s="123" t="s">
        <v>627</v>
      </c>
      <c r="F91" s="123" t="s">
        <v>680</v>
      </c>
      <c r="G91" s="123" t="s">
        <v>132</v>
      </c>
      <c r="H91" s="123">
        <v>2026.0</v>
      </c>
      <c r="I91" s="124" t="s">
        <v>681</v>
      </c>
      <c r="J91" s="123" t="s">
        <v>57</v>
      </c>
      <c r="K91" s="123" t="s">
        <v>82</v>
      </c>
      <c r="L91" s="123" t="s">
        <v>30</v>
      </c>
      <c r="M91" s="123" t="s">
        <v>45</v>
      </c>
      <c r="N91" s="123" t="s">
        <v>44</v>
      </c>
      <c r="O91" s="123" t="s">
        <v>97</v>
      </c>
      <c r="P91" s="123" t="s">
        <v>151</v>
      </c>
      <c r="Q91" s="18" t="s">
        <v>841</v>
      </c>
      <c r="R91" s="18" t="s">
        <v>683</v>
      </c>
      <c r="S91" s="18" t="s">
        <v>219</v>
      </c>
      <c r="T91" s="120"/>
      <c r="U91" s="18">
        <f t="shared" si="1"/>
        <v>1</v>
      </c>
      <c r="V91" s="18">
        <f t="shared" si="2"/>
        <v>4</v>
      </c>
      <c r="W91" s="18" t="str">
        <f t="shared" si="3"/>
        <v>Internal</v>
      </c>
    </row>
    <row r="92">
      <c r="A92" s="123" t="s">
        <v>658</v>
      </c>
      <c r="B92" s="123" t="s">
        <v>174</v>
      </c>
      <c r="C92" s="123" t="s">
        <v>472</v>
      </c>
      <c r="D92" s="123" t="s">
        <v>842</v>
      </c>
      <c r="E92" s="123" t="s">
        <v>627</v>
      </c>
      <c r="F92" s="123" t="s">
        <v>843</v>
      </c>
      <c r="G92" s="123" t="s">
        <v>177</v>
      </c>
      <c r="H92" s="131">
        <v>45536.0</v>
      </c>
      <c r="I92" s="124" t="s">
        <v>844</v>
      </c>
      <c r="J92" s="123" t="s">
        <v>29</v>
      </c>
      <c r="K92" s="123" t="s">
        <v>82</v>
      </c>
      <c r="L92" s="123" t="s">
        <v>103</v>
      </c>
      <c r="M92" s="123" t="s">
        <v>96</v>
      </c>
      <c r="N92" s="123" t="s">
        <v>44</v>
      </c>
      <c r="O92" s="123" t="s">
        <v>97</v>
      </c>
      <c r="P92" s="123" t="s">
        <v>151</v>
      </c>
      <c r="Q92" s="18" t="s">
        <v>845</v>
      </c>
      <c r="R92" s="18" t="s">
        <v>846</v>
      </c>
      <c r="S92" s="18" t="s">
        <v>182</v>
      </c>
      <c r="T92" s="120"/>
      <c r="U92" s="18">
        <f t="shared" si="1"/>
        <v>2</v>
      </c>
      <c r="V92" s="18">
        <f t="shared" si="2"/>
        <v>5</v>
      </c>
      <c r="W92" s="18" t="str">
        <f t="shared" si="3"/>
        <v>Internal</v>
      </c>
    </row>
    <row r="93">
      <c r="A93" s="123" t="s">
        <v>663</v>
      </c>
      <c r="B93" s="123" t="s">
        <v>174</v>
      </c>
      <c r="C93" s="123" t="s">
        <v>472</v>
      </c>
      <c r="D93" s="123" t="s">
        <v>842</v>
      </c>
      <c r="E93" s="123" t="s">
        <v>627</v>
      </c>
      <c r="F93" s="123" t="s">
        <v>847</v>
      </c>
      <c r="G93" s="123" t="s">
        <v>177</v>
      </c>
      <c r="H93" s="131">
        <v>45536.0</v>
      </c>
      <c r="I93" s="124" t="s">
        <v>844</v>
      </c>
      <c r="J93" s="123" t="s">
        <v>42</v>
      </c>
      <c r="K93" s="123" t="s">
        <v>30</v>
      </c>
      <c r="L93" s="123" t="s">
        <v>103</v>
      </c>
      <c r="M93" s="123" t="s">
        <v>44</v>
      </c>
      <c r="N93" s="123" t="s">
        <v>96</v>
      </c>
      <c r="O93" s="123" t="s">
        <v>300</v>
      </c>
      <c r="P93" s="123" t="s">
        <v>151</v>
      </c>
      <c r="Q93" s="18" t="s">
        <v>848</v>
      </c>
      <c r="R93" s="18" t="s">
        <v>849</v>
      </c>
      <c r="S93" s="18" t="s">
        <v>182</v>
      </c>
      <c r="T93" s="120"/>
      <c r="U93" s="18">
        <f t="shared" si="1"/>
        <v>3</v>
      </c>
      <c r="V93" s="18">
        <f t="shared" si="2"/>
        <v>5</v>
      </c>
      <c r="W93" s="18" t="str">
        <f t="shared" si="3"/>
        <v>Internal</v>
      </c>
    </row>
    <row r="94">
      <c r="A94" s="123" t="s">
        <v>668</v>
      </c>
      <c r="B94" s="123" t="s">
        <v>174</v>
      </c>
      <c r="C94" s="123" t="s">
        <v>472</v>
      </c>
      <c r="D94" s="123"/>
      <c r="E94" s="123" t="s">
        <v>627</v>
      </c>
      <c r="F94" s="123" t="s">
        <v>850</v>
      </c>
      <c r="G94" s="123" t="s">
        <v>177</v>
      </c>
      <c r="H94" s="131">
        <v>45444.0</v>
      </c>
      <c r="I94" s="124" t="s">
        <v>851</v>
      </c>
      <c r="J94" s="123" t="s">
        <v>29</v>
      </c>
      <c r="K94" s="123" t="s">
        <v>30</v>
      </c>
      <c r="L94" s="123" t="s">
        <v>30</v>
      </c>
      <c r="M94" s="123" t="s">
        <v>33</v>
      </c>
      <c r="N94" s="123" t="s">
        <v>32</v>
      </c>
      <c r="O94" s="123" t="s">
        <v>300</v>
      </c>
      <c r="P94" s="123" t="s">
        <v>151</v>
      </c>
      <c r="Q94" s="18" t="s">
        <v>852</v>
      </c>
      <c r="R94" s="18" t="s">
        <v>853</v>
      </c>
      <c r="S94" s="18" t="s">
        <v>182</v>
      </c>
      <c r="T94" s="120"/>
      <c r="U94" s="18">
        <f t="shared" si="1"/>
        <v>2</v>
      </c>
      <c r="V94" s="18">
        <f t="shared" si="2"/>
        <v>5</v>
      </c>
      <c r="W94" s="18" t="str">
        <f t="shared" si="3"/>
        <v>Internal</v>
      </c>
    </row>
    <row r="95">
      <c r="A95" s="123" t="s">
        <v>674</v>
      </c>
      <c r="B95" s="123" t="s">
        <v>174</v>
      </c>
      <c r="C95" s="123" t="s">
        <v>472</v>
      </c>
      <c r="D95" s="123"/>
      <c r="E95" s="123" t="s">
        <v>627</v>
      </c>
      <c r="F95" s="123" t="s">
        <v>854</v>
      </c>
      <c r="G95" s="123" t="s">
        <v>177</v>
      </c>
      <c r="H95" s="131">
        <v>45383.0</v>
      </c>
      <c r="I95" s="124" t="s">
        <v>855</v>
      </c>
      <c r="J95" s="123" t="s">
        <v>29</v>
      </c>
      <c r="K95" s="123" t="s">
        <v>30</v>
      </c>
      <c r="L95" s="123" t="s">
        <v>30</v>
      </c>
      <c r="M95" s="123" t="s">
        <v>33</v>
      </c>
      <c r="N95" s="123" t="s">
        <v>45</v>
      </c>
      <c r="O95" s="123" t="s">
        <v>300</v>
      </c>
      <c r="P95" s="123" t="s">
        <v>151</v>
      </c>
      <c r="Q95" s="18" t="s">
        <v>856</v>
      </c>
      <c r="R95" s="18" t="s">
        <v>857</v>
      </c>
      <c r="S95" s="18" t="s">
        <v>182</v>
      </c>
      <c r="T95" s="120"/>
      <c r="U95" s="18">
        <f t="shared" si="1"/>
        <v>2</v>
      </c>
      <c r="V95" s="18">
        <f t="shared" si="2"/>
        <v>5</v>
      </c>
      <c r="W95" s="18" t="str">
        <f t="shared" si="3"/>
        <v>Internal</v>
      </c>
    </row>
    <row r="96">
      <c r="A96" s="123" t="s">
        <v>678</v>
      </c>
      <c r="B96" s="123" t="s">
        <v>174</v>
      </c>
      <c r="C96" s="123" t="s">
        <v>472</v>
      </c>
      <c r="D96" s="123"/>
      <c r="E96" s="123" t="s">
        <v>627</v>
      </c>
      <c r="F96" s="123" t="s">
        <v>858</v>
      </c>
      <c r="G96" s="123" t="s">
        <v>177</v>
      </c>
      <c r="H96" s="131">
        <v>45870.0</v>
      </c>
      <c r="I96" s="124" t="s">
        <v>859</v>
      </c>
      <c r="J96" s="123" t="s">
        <v>29</v>
      </c>
      <c r="K96" s="123" t="s">
        <v>30</v>
      </c>
      <c r="L96" s="123" t="s">
        <v>30</v>
      </c>
      <c r="M96" s="123" t="s">
        <v>33</v>
      </c>
      <c r="N96" s="123" t="s">
        <v>32</v>
      </c>
      <c r="O96" s="123" t="s">
        <v>300</v>
      </c>
      <c r="P96" s="123" t="s">
        <v>151</v>
      </c>
      <c r="Q96" s="18" t="s">
        <v>860</v>
      </c>
      <c r="R96" s="18" t="s">
        <v>857</v>
      </c>
      <c r="S96" s="18" t="s">
        <v>182</v>
      </c>
      <c r="T96" s="18"/>
      <c r="U96" s="18">
        <f t="shared" si="1"/>
        <v>2</v>
      </c>
      <c r="V96" s="18">
        <f t="shared" si="2"/>
        <v>5</v>
      </c>
      <c r="W96" s="18" t="str">
        <f t="shared" si="3"/>
        <v>Internal</v>
      </c>
    </row>
    <row r="97">
      <c r="A97" s="123" t="s">
        <v>684</v>
      </c>
      <c r="B97" s="123" t="s">
        <v>90</v>
      </c>
      <c r="C97" s="123" t="s">
        <v>472</v>
      </c>
      <c r="D97" s="123"/>
      <c r="E97" s="123" t="s">
        <v>578</v>
      </c>
      <c r="F97" s="123" t="s">
        <v>589</v>
      </c>
      <c r="G97" s="123" t="s">
        <v>94</v>
      </c>
      <c r="H97" s="131">
        <v>45566.0</v>
      </c>
      <c r="I97" s="124" t="s">
        <v>590</v>
      </c>
      <c r="J97" s="123" t="s">
        <v>57</v>
      </c>
      <c r="K97" s="123" t="s">
        <v>82</v>
      </c>
      <c r="L97" s="123" t="s">
        <v>313</v>
      </c>
      <c r="M97" s="123" t="s">
        <v>44</v>
      </c>
      <c r="N97" s="123" t="s">
        <v>45</v>
      </c>
      <c r="O97" s="123" t="s">
        <v>34</v>
      </c>
      <c r="P97" s="123" t="s">
        <v>314</v>
      </c>
      <c r="Q97" s="18" t="s">
        <v>861</v>
      </c>
      <c r="R97" s="18" t="s">
        <v>862</v>
      </c>
      <c r="S97" s="18" t="s">
        <v>219</v>
      </c>
      <c r="T97" s="18"/>
      <c r="U97" s="18">
        <f t="shared" si="1"/>
        <v>1</v>
      </c>
      <c r="V97" s="18">
        <f t="shared" si="2"/>
        <v>3</v>
      </c>
      <c r="W97" s="18" t="str">
        <f t="shared" si="3"/>
        <v>Internal</v>
      </c>
    </row>
    <row r="98">
      <c r="A98" s="123" t="s">
        <v>690</v>
      </c>
      <c r="B98" s="123" t="s">
        <v>90</v>
      </c>
      <c r="C98" s="123" t="s">
        <v>472</v>
      </c>
      <c r="D98" s="123"/>
      <c r="E98" s="123" t="s">
        <v>578</v>
      </c>
      <c r="F98" s="123" t="s">
        <v>863</v>
      </c>
      <c r="G98" s="123" t="s">
        <v>27</v>
      </c>
      <c r="H98" s="131">
        <v>45870.0</v>
      </c>
      <c r="I98" s="124" t="s">
        <v>864</v>
      </c>
      <c r="J98" s="123" t="s">
        <v>42</v>
      </c>
      <c r="K98" s="123" t="s">
        <v>82</v>
      </c>
      <c r="L98" s="123" t="s">
        <v>306</v>
      </c>
      <c r="M98" s="123" t="s">
        <v>96</v>
      </c>
      <c r="N98" s="123" t="s">
        <v>32</v>
      </c>
      <c r="O98" s="123" t="s">
        <v>97</v>
      </c>
      <c r="P98" s="123" t="s">
        <v>314</v>
      </c>
      <c r="Q98" s="18" t="s">
        <v>865</v>
      </c>
      <c r="R98" s="18" t="s">
        <v>866</v>
      </c>
      <c r="S98" s="18" t="s">
        <v>182</v>
      </c>
      <c r="T98" s="18"/>
      <c r="U98" s="18">
        <f t="shared" si="1"/>
        <v>3</v>
      </c>
      <c r="V98" s="18">
        <f t="shared" si="2"/>
        <v>3</v>
      </c>
      <c r="W98" s="18" t="str">
        <f t="shared" si="3"/>
        <v>Internal</v>
      </c>
    </row>
    <row r="99">
      <c r="A99" s="123" t="s">
        <v>694</v>
      </c>
      <c r="B99" s="123" t="s">
        <v>90</v>
      </c>
      <c r="C99" s="123" t="s">
        <v>472</v>
      </c>
      <c r="D99" s="123"/>
      <c r="E99" s="123" t="s">
        <v>578</v>
      </c>
      <c r="F99" s="123" t="s">
        <v>867</v>
      </c>
      <c r="G99" s="123" t="s">
        <v>94</v>
      </c>
      <c r="H99" s="131">
        <v>45513.0</v>
      </c>
      <c r="I99" s="124" t="s">
        <v>595</v>
      </c>
      <c r="J99" s="123" t="s">
        <v>57</v>
      </c>
      <c r="K99" s="123" t="s">
        <v>82</v>
      </c>
      <c r="L99" s="123" t="s">
        <v>103</v>
      </c>
      <c r="M99" s="123" t="s">
        <v>96</v>
      </c>
      <c r="N99" s="123" t="s">
        <v>32</v>
      </c>
      <c r="O99" s="123" t="s">
        <v>97</v>
      </c>
      <c r="P99" s="123" t="s">
        <v>111</v>
      </c>
      <c r="Q99" s="18" t="s">
        <v>596</v>
      </c>
      <c r="R99" s="18" t="s">
        <v>868</v>
      </c>
      <c r="S99" s="18" t="s">
        <v>219</v>
      </c>
      <c r="T99" s="18"/>
      <c r="U99" s="18">
        <f t="shared" si="1"/>
        <v>1</v>
      </c>
      <c r="V99" s="18">
        <f t="shared" si="2"/>
        <v>3</v>
      </c>
      <c r="W99" s="18" t="str">
        <f t="shared" si="3"/>
        <v>Internal</v>
      </c>
    </row>
    <row r="100">
      <c r="A100" s="123" t="s">
        <v>698</v>
      </c>
      <c r="B100" s="123" t="s">
        <v>90</v>
      </c>
      <c r="C100" s="123" t="s">
        <v>472</v>
      </c>
      <c r="D100" s="123" t="s">
        <v>869</v>
      </c>
      <c r="E100" s="123" t="s">
        <v>578</v>
      </c>
      <c r="F100" s="123" t="s">
        <v>870</v>
      </c>
      <c r="G100" s="123" t="s">
        <v>132</v>
      </c>
      <c r="H100" s="123">
        <v>2026.0</v>
      </c>
      <c r="I100" s="124" t="s">
        <v>871</v>
      </c>
      <c r="J100" s="123" t="s">
        <v>29</v>
      </c>
      <c r="K100" s="123" t="s">
        <v>30</v>
      </c>
      <c r="L100" s="123" t="s">
        <v>313</v>
      </c>
      <c r="M100" s="123" t="s">
        <v>32</v>
      </c>
      <c r="N100" s="123" t="s">
        <v>45</v>
      </c>
      <c r="O100" s="123" t="s">
        <v>97</v>
      </c>
      <c r="P100" s="123" t="s">
        <v>314</v>
      </c>
      <c r="Q100" s="18" t="s">
        <v>872</v>
      </c>
      <c r="R100" s="18" t="s">
        <v>873</v>
      </c>
      <c r="S100" s="18" t="s">
        <v>182</v>
      </c>
      <c r="T100" s="18"/>
      <c r="U100" s="18">
        <f t="shared" si="1"/>
        <v>2</v>
      </c>
      <c r="V100" s="18">
        <f t="shared" si="2"/>
        <v>3</v>
      </c>
      <c r="W100" s="18" t="str">
        <f t="shared" si="3"/>
        <v>Internal</v>
      </c>
    </row>
    <row r="101">
      <c r="A101" s="123" t="s">
        <v>701</v>
      </c>
      <c r="B101" s="123" t="s">
        <v>90</v>
      </c>
      <c r="C101" s="123" t="s">
        <v>472</v>
      </c>
      <c r="D101" s="123" t="s">
        <v>874</v>
      </c>
      <c r="E101" s="123" t="s">
        <v>578</v>
      </c>
      <c r="F101" s="123" t="s">
        <v>875</v>
      </c>
      <c r="G101" s="123" t="s">
        <v>132</v>
      </c>
      <c r="H101" s="123">
        <v>2026.0</v>
      </c>
      <c r="I101" s="124" t="s">
        <v>876</v>
      </c>
      <c r="J101" s="123" t="s">
        <v>42</v>
      </c>
      <c r="K101" s="123" t="s">
        <v>30</v>
      </c>
      <c r="L101" s="123" t="s">
        <v>306</v>
      </c>
      <c r="M101" s="123" t="s">
        <v>44</v>
      </c>
      <c r="N101" s="123" t="s">
        <v>96</v>
      </c>
      <c r="O101" s="123" t="s">
        <v>300</v>
      </c>
      <c r="P101" s="123" t="s">
        <v>314</v>
      </c>
      <c r="Q101" s="18" t="s">
        <v>877</v>
      </c>
      <c r="R101" s="18" t="s">
        <v>878</v>
      </c>
      <c r="S101" s="18" t="s">
        <v>182</v>
      </c>
      <c r="T101" s="18"/>
      <c r="U101" s="18">
        <f t="shared" si="1"/>
        <v>3</v>
      </c>
      <c r="V101" s="18">
        <f t="shared" si="2"/>
        <v>3</v>
      </c>
      <c r="W101" s="18" t="str">
        <f t="shared" si="3"/>
        <v>Internal</v>
      </c>
    </row>
    <row r="102">
      <c r="A102" s="123" t="s">
        <v>704</v>
      </c>
      <c r="B102" s="123" t="s">
        <v>352</v>
      </c>
      <c r="C102" s="123" t="s">
        <v>472</v>
      </c>
      <c r="D102" s="123" t="s">
        <v>879</v>
      </c>
      <c r="E102" s="123" t="s">
        <v>578</v>
      </c>
      <c r="F102" s="123" t="s">
        <v>600</v>
      </c>
      <c r="G102" s="123" t="s">
        <v>94</v>
      </c>
      <c r="H102" s="131">
        <v>45673.0</v>
      </c>
      <c r="I102" s="124" t="s">
        <v>601</v>
      </c>
      <c r="J102" s="123" t="s">
        <v>57</v>
      </c>
      <c r="K102" s="123" t="s">
        <v>58</v>
      </c>
      <c r="L102" s="123" t="s">
        <v>306</v>
      </c>
      <c r="M102" s="123" t="s">
        <v>96</v>
      </c>
      <c r="N102" s="123"/>
      <c r="O102" s="123" t="s">
        <v>110</v>
      </c>
      <c r="P102" s="123" t="s">
        <v>314</v>
      </c>
      <c r="Q102" s="18" t="s">
        <v>880</v>
      </c>
      <c r="R102" s="18" t="s">
        <v>881</v>
      </c>
      <c r="S102" s="18" t="s">
        <v>219</v>
      </c>
      <c r="T102" s="18"/>
      <c r="U102" s="18">
        <f t="shared" si="1"/>
        <v>1</v>
      </c>
      <c r="V102" s="18">
        <f t="shared" si="2"/>
        <v>4</v>
      </c>
      <c r="W102" s="18" t="str">
        <f t="shared" si="3"/>
        <v>Internal</v>
      </c>
    </row>
    <row r="103">
      <c r="A103" s="123" t="s">
        <v>708</v>
      </c>
      <c r="B103" s="123" t="s">
        <v>352</v>
      </c>
      <c r="C103" s="123" t="s">
        <v>472</v>
      </c>
      <c r="D103" s="123" t="s">
        <v>879</v>
      </c>
      <c r="E103" s="123" t="s">
        <v>578</v>
      </c>
      <c r="F103" s="123" t="s">
        <v>882</v>
      </c>
      <c r="G103" s="123" t="s">
        <v>71</v>
      </c>
      <c r="H103" s="131">
        <v>45922.0</v>
      </c>
      <c r="I103" s="124" t="s">
        <v>883</v>
      </c>
      <c r="J103" s="123" t="s">
        <v>29</v>
      </c>
      <c r="K103" s="123" t="s">
        <v>82</v>
      </c>
      <c r="L103" s="123" t="s">
        <v>355</v>
      </c>
      <c r="M103" s="123" t="s">
        <v>96</v>
      </c>
      <c r="N103" s="123"/>
      <c r="O103" s="123" t="s">
        <v>97</v>
      </c>
      <c r="P103" s="123" t="s">
        <v>151</v>
      </c>
      <c r="Q103" s="18"/>
      <c r="R103" s="18" t="s">
        <v>884</v>
      </c>
      <c r="S103" s="18" t="s">
        <v>182</v>
      </c>
      <c r="T103" s="18"/>
      <c r="U103" s="18">
        <f t="shared" si="1"/>
        <v>2</v>
      </c>
      <c r="V103" s="18">
        <f t="shared" si="2"/>
        <v>4</v>
      </c>
      <c r="W103" s="18" t="str">
        <f t="shared" si="3"/>
        <v>Internal</v>
      </c>
    </row>
    <row r="104">
      <c r="A104" s="123" t="s">
        <v>712</v>
      </c>
      <c r="B104" s="123" t="s">
        <v>352</v>
      </c>
      <c r="C104" s="123" t="s">
        <v>472</v>
      </c>
      <c r="D104" s="123" t="s">
        <v>885</v>
      </c>
      <c r="E104" s="123" t="s">
        <v>578</v>
      </c>
      <c r="F104" s="123" t="s">
        <v>886</v>
      </c>
      <c r="G104" s="123" t="s">
        <v>27</v>
      </c>
      <c r="H104" s="131">
        <v>45931.0</v>
      </c>
      <c r="I104" s="124" t="s">
        <v>887</v>
      </c>
      <c r="J104" s="123" t="s">
        <v>57</v>
      </c>
      <c r="K104" s="123" t="s">
        <v>82</v>
      </c>
      <c r="L104" s="123" t="s">
        <v>313</v>
      </c>
      <c r="M104" s="123" t="s">
        <v>96</v>
      </c>
      <c r="N104" s="123"/>
      <c r="O104" s="123" t="s">
        <v>97</v>
      </c>
      <c r="P104" s="123" t="s">
        <v>151</v>
      </c>
      <c r="Q104" s="18" t="s">
        <v>888</v>
      </c>
      <c r="R104" s="18" t="s">
        <v>889</v>
      </c>
      <c r="S104" s="18" t="s">
        <v>182</v>
      </c>
      <c r="T104" s="18"/>
      <c r="U104" s="18">
        <f t="shared" si="1"/>
        <v>1</v>
      </c>
      <c r="V104" s="18">
        <f t="shared" si="2"/>
        <v>4</v>
      </c>
      <c r="W104" s="18" t="str">
        <f t="shared" si="3"/>
        <v>Internal</v>
      </c>
    </row>
    <row r="105">
      <c r="A105" s="123" t="s">
        <v>890</v>
      </c>
      <c r="B105" s="123" t="s">
        <v>352</v>
      </c>
      <c r="C105" s="123" t="s">
        <v>472</v>
      </c>
      <c r="D105" s="123" t="s">
        <v>891</v>
      </c>
      <c r="E105" s="123" t="s">
        <v>578</v>
      </c>
      <c r="F105" s="123" t="s">
        <v>892</v>
      </c>
      <c r="G105" s="123" t="s">
        <v>94</v>
      </c>
      <c r="H105" s="123" t="s">
        <v>754</v>
      </c>
      <c r="I105" s="124" t="s">
        <v>893</v>
      </c>
      <c r="J105" s="123" t="s">
        <v>57</v>
      </c>
      <c r="K105" s="123" t="s">
        <v>82</v>
      </c>
      <c r="L105" s="123" t="s">
        <v>355</v>
      </c>
      <c r="M105" s="123" t="s">
        <v>96</v>
      </c>
      <c r="N105" s="123"/>
      <c r="O105" s="123" t="s">
        <v>110</v>
      </c>
      <c r="P105" s="123" t="s">
        <v>151</v>
      </c>
      <c r="Q105" s="18" t="s">
        <v>894</v>
      </c>
      <c r="R105" s="18" t="s">
        <v>895</v>
      </c>
      <c r="S105" s="18" t="s">
        <v>182</v>
      </c>
      <c r="T105" s="18"/>
      <c r="U105" s="18">
        <f t="shared" si="1"/>
        <v>1</v>
      </c>
      <c r="V105" s="18">
        <f t="shared" si="2"/>
        <v>4</v>
      </c>
      <c r="W105" s="18" t="str">
        <f t="shared" si="3"/>
        <v>Internal</v>
      </c>
    </row>
    <row r="106">
      <c r="A106" s="123" t="s">
        <v>896</v>
      </c>
      <c r="B106" s="123" t="s">
        <v>352</v>
      </c>
      <c r="C106" s="123" t="s">
        <v>472</v>
      </c>
      <c r="D106" s="123" t="s">
        <v>897</v>
      </c>
      <c r="E106" s="123" t="s">
        <v>578</v>
      </c>
      <c r="F106" s="123" t="s">
        <v>898</v>
      </c>
      <c r="G106" s="123" t="s">
        <v>94</v>
      </c>
      <c r="H106" s="123" t="s">
        <v>754</v>
      </c>
      <c r="I106" s="124" t="s">
        <v>899</v>
      </c>
      <c r="J106" s="123" t="s">
        <v>29</v>
      </c>
      <c r="K106" s="123" t="s">
        <v>82</v>
      </c>
      <c r="L106" s="123" t="s">
        <v>306</v>
      </c>
      <c r="M106" s="123" t="s">
        <v>44</v>
      </c>
      <c r="N106" s="123" t="s">
        <v>96</v>
      </c>
      <c r="O106" s="123" t="s">
        <v>97</v>
      </c>
      <c r="P106" s="123" t="s">
        <v>314</v>
      </c>
      <c r="Q106" s="18" t="s">
        <v>900</v>
      </c>
      <c r="R106" s="18" t="s">
        <v>901</v>
      </c>
      <c r="S106" s="18" t="s">
        <v>182</v>
      </c>
      <c r="T106" s="18"/>
      <c r="U106" s="18">
        <f t="shared" si="1"/>
        <v>2</v>
      </c>
      <c r="V106" s="18">
        <f t="shared" si="2"/>
        <v>4</v>
      </c>
      <c r="W106" s="18" t="str">
        <f t="shared" si="3"/>
        <v>Internal</v>
      </c>
    </row>
    <row r="107">
      <c r="A107" s="123" t="s">
        <v>902</v>
      </c>
      <c r="B107" s="123" t="s">
        <v>174</v>
      </c>
      <c r="C107" s="123" t="s">
        <v>472</v>
      </c>
      <c r="D107" s="123"/>
      <c r="E107" s="123" t="s">
        <v>578</v>
      </c>
      <c r="F107" s="123" t="s">
        <v>903</v>
      </c>
      <c r="G107" s="123" t="s">
        <v>177</v>
      </c>
      <c r="H107" s="123" t="s">
        <v>754</v>
      </c>
      <c r="I107" s="124" t="s">
        <v>616</v>
      </c>
      <c r="J107" s="123" t="s">
        <v>29</v>
      </c>
      <c r="K107" s="123" t="s">
        <v>30</v>
      </c>
      <c r="L107" s="123" t="s">
        <v>313</v>
      </c>
      <c r="M107" s="123" t="s">
        <v>96</v>
      </c>
      <c r="N107" s="123" t="s">
        <v>33</v>
      </c>
      <c r="O107" s="123" t="s">
        <v>97</v>
      </c>
      <c r="P107" s="123" t="s">
        <v>151</v>
      </c>
      <c r="Q107" s="18" t="s">
        <v>617</v>
      </c>
      <c r="R107" s="18" t="s">
        <v>904</v>
      </c>
      <c r="S107" s="18" t="s">
        <v>182</v>
      </c>
      <c r="T107" s="18"/>
      <c r="U107" s="18">
        <f t="shared" si="1"/>
        <v>2</v>
      </c>
      <c r="V107" s="18">
        <f t="shared" si="2"/>
        <v>5</v>
      </c>
      <c r="W107" s="18" t="str">
        <f t="shared" si="3"/>
        <v>Internal</v>
      </c>
    </row>
    <row r="108">
      <c r="A108" s="123" t="s">
        <v>905</v>
      </c>
      <c r="B108" s="123" t="s">
        <v>174</v>
      </c>
      <c r="C108" s="123" t="s">
        <v>472</v>
      </c>
      <c r="D108" s="123"/>
      <c r="E108" s="123" t="s">
        <v>578</v>
      </c>
      <c r="F108" s="123" t="s">
        <v>906</v>
      </c>
      <c r="G108" s="123" t="s">
        <v>177</v>
      </c>
      <c r="H108" s="123" t="s">
        <v>754</v>
      </c>
      <c r="I108" s="124" t="s">
        <v>907</v>
      </c>
      <c r="J108" s="123" t="s">
        <v>29</v>
      </c>
      <c r="K108" s="123" t="s">
        <v>30</v>
      </c>
      <c r="L108" s="123" t="s">
        <v>313</v>
      </c>
      <c r="M108" s="123" t="s">
        <v>96</v>
      </c>
      <c r="N108" s="123" t="s">
        <v>33</v>
      </c>
      <c r="O108" s="123" t="s">
        <v>97</v>
      </c>
      <c r="P108" s="123" t="s">
        <v>151</v>
      </c>
      <c r="Q108" s="18" t="s">
        <v>617</v>
      </c>
      <c r="R108" s="18" t="s">
        <v>908</v>
      </c>
      <c r="S108" s="18" t="s">
        <v>182</v>
      </c>
      <c r="T108" s="18"/>
      <c r="U108" s="18">
        <f t="shared" si="1"/>
        <v>2</v>
      </c>
      <c r="V108" s="18">
        <f t="shared" si="2"/>
        <v>5</v>
      </c>
      <c r="W108" s="18" t="str">
        <f t="shared" si="3"/>
        <v>Internal</v>
      </c>
    </row>
    <row r="109">
      <c r="A109" s="123" t="s">
        <v>909</v>
      </c>
      <c r="B109" s="123" t="s">
        <v>174</v>
      </c>
      <c r="C109" s="123" t="s">
        <v>472</v>
      </c>
      <c r="D109" s="123" t="s">
        <v>910</v>
      </c>
      <c r="E109" s="123" t="s">
        <v>578</v>
      </c>
      <c r="F109" s="123" t="s">
        <v>911</v>
      </c>
      <c r="G109" s="123" t="s">
        <v>177</v>
      </c>
      <c r="H109" s="123" t="s">
        <v>912</v>
      </c>
      <c r="I109" s="124" t="s">
        <v>913</v>
      </c>
      <c r="J109" s="123" t="s">
        <v>29</v>
      </c>
      <c r="K109" s="123" t="s">
        <v>30</v>
      </c>
      <c r="L109" s="123" t="s">
        <v>313</v>
      </c>
      <c r="M109" s="123" t="s">
        <v>96</v>
      </c>
      <c r="N109" s="123" t="s">
        <v>32</v>
      </c>
      <c r="O109" s="123" t="s">
        <v>97</v>
      </c>
      <c r="P109" s="123" t="s">
        <v>151</v>
      </c>
      <c r="Q109" s="18" t="s">
        <v>914</v>
      </c>
      <c r="R109" s="18" t="s">
        <v>915</v>
      </c>
      <c r="S109" s="18" t="s">
        <v>182</v>
      </c>
      <c r="T109" s="18"/>
      <c r="U109" s="18">
        <f t="shared" si="1"/>
        <v>2</v>
      </c>
      <c r="V109" s="18">
        <f t="shared" si="2"/>
        <v>5</v>
      </c>
      <c r="W109" s="18" t="str">
        <f t="shared" si="3"/>
        <v>Internal</v>
      </c>
    </row>
    <row r="110">
      <c r="A110" s="123" t="s">
        <v>916</v>
      </c>
      <c r="B110" s="123" t="s">
        <v>174</v>
      </c>
      <c r="C110" s="123" t="s">
        <v>472</v>
      </c>
      <c r="D110" s="123"/>
      <c r="E110" s="123" t="s">
        <v>578</v>
      </c>
      <c r="F110" s="123" t="s">
        <v>917</v>
      </c>
      <c r="G110" s="123" t="s">
        <v>177</v>
      </c>
      <c r="H110" s="123" t="s">
        <v>754</v>
      </c>
      <c r="I110" s="124" t="s">
        <v>918</v>
      </c>
      <c r="J110" s="123" t="s">
        <v>57</v>
      </c>
      <c r="K110" s="123" t="s">
        <v>30</v>
      </c>
      <c r="L110" s="123" t="s">
        <v>355</v>
      </c>
      <c r="M110" s="123" t="s">
        <v>44</v>
      </c>
      <c r="N110" s="123" t="s">
        <v>96</v>
      </c>
      <c r="O110" s="123" t="s">
        <v>110</v>
      </c>
      <c r="P110" s="123" t="s">
        <v>151</v>
      </c>
      <c r="Q110" s="18" t="s">
        <v>919</v>
      </c>
      <c r="R110" s="18" t="s">
        <v>920</v>
      </c>
      <c r="S110" s="18" t="s">
        <v>182</v>
      </c>
      <c r="T110" s="18"/>
      <c r="U110" s="18">
        <f t="shared" si="1"/>
        <v>1</v>
      </c>
      <c r="V110" s="18">
        <f t="shared" si="2"/>
        <v>5</v>
      </c>
      <c r="W110" s="18" t="str">
        <f t="shared" si="3"/>
        <v>Internal</v>
      </c>
    </row>
    <row r="111">
      <c r="A111" s="123" t="s">
        <v>921</v>
      </c>
      <c r="B111" s="123" t="s">
        <v>174</v>
      </c>
      <c r="C111" s="123" t="s">
        <v>472</v>
      </c>
      <c r="D111" s="123"/>
      <c r="E111" s="123" t="s">
        <v>578</v>
      </c>
      <c r="F111" s="123" t="s">
        <v>922</v>
      </c>
      <c r="G111" s="123" t="s">
        <v>177</v>
      </c>
      <c r="H111" s="123" t="s">
        <v>754</v>
      </c>
      <c r="I111" s="124" t="s">
        <v>923</v>
      </c>
      <c r="J111" s="123" t="s">
        <v>42</v>
      </c>
      <c r="K111" s="123" t="s">
        <v>82</v>
      </c>
      <c r="L111" s="123" t="s">
        <v>103</v>
      </c>
      <c r="M111" s="123" t="s">
        <v>96</v>
      </c>
      <c r="N111" s="123" t="s">
        <v>44</v>
      </c>
      <c r="O111" s="123" t="s">
        <v>300</v>
      </c>
      <c r="P111" s="123" t="s">
        <v>151</v>
      </c>
      <c r="Q111" s="18" t="s">
        <v>924</v>
      </c>
      <c r="R111" s="18" t="s">
        <v>925</v>
      </c>
      <c r="S111" s="18" t="s">
        <v>182</v>
      </c>
      <c r="T111" s="18"/>
      <c r="U111" s="18">
        <f t="shared" si="1"/>
        <v>3</v>
      </c>
      <c r="V111" s="18">
        <f t="shared" si="2"/>
        <v>5</v>
      </c>
      <c r="W111" s="18" t="str">
        <f t="shared" si="3"/>
        <v>Internal</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location="1743443301057-e01b194c-474d"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s>
  <drawing r:id="rId1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1"/>
    <row r="12"/>
    <row r="13"/>
    <row r="14">
      <c r="I14" s="133"/>
      <c r="J14" s="133"/>
      <c r="K14" s="133"/>
      <c r="L14" s="133"/>
      <c r="M14" s="133"/>
      <c r="N14" s="133"/>
    </row>
    <row r="15">
      <c r="I15" s="133"/>
      <c r="J15" s="133"/>
      <c r="K15" s="133"/>
      <c r="L15" s="133"/>
      <c r="M15" s="133"/>
      <c r="N15" s="133"/>
    </row>
    <row r="16">
      <c r="I16" s="133"/>
      <c r="J16" s="133"/>
      <c r="K16" s="133"/>
      <c r="L16" s="133"/>
      <c r="M16" s="133"/>
      <c r="N16" s="133"/>
    </row>
    <row r="17">
      <c r="I17" s="133"/>
      <c r="J17" s="133"/>
      <c r="K17" s="133"/>
      <c r="L17" s="133"/>
      <c r="M17" s="133"/>
      <c r="N17" s="133"/>
    </row>
    <row r="18">
      <c r="I18" s="133"/>
      <c r="J18" s="133"/>
      <c r="K18" s="133"/>
      <c r="L18" s="133"/>
      <c r="M18" s="133"/>
      <c r="N18" s="133"/>
    </row>
    <row r="19">
      <c r="I19" s="133"/>
      <c r="J19" s="133"/>
      <c r="K19" s="133"/>
      <c r="L19" s="133"/>
      <c r="M19" s="133"/>
      <c r="N19" s="133"/>
    </row>
    <row r="20"/>
    <row r="21"/>
    <row r="22"/>
    <row r="23"/>
    <row r="24"/>
    <row r="25"/>
  </sheetData>
  <conditionalFormatting sqref="B3:G5">
    <cfRule type="colorScale" priority="1">
      <colorScale>
        <cfvo type="formula" val="0"/>
        <cfvo type="formula" val="3"/>
        <color rgb="FFFFFFFF"/>
        <color rgb="FF57BB8A"/>
      </colorScale>
    </cfRule>
  </conditionalFormatting>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hidden="1" min="4" max="4" width="14.43"/>
    <col hidden="1" min="6" max="6" width="14.43"/>
    <col hidden="1" min="8" max="9" width="14.43"/>
    <col hidden="1" min="14" max="14" width="14.43"/>
    <col hidden="1" min="17" max="20" width="14.43"/>
  </cols>
  <sheetData>
    <row r="1">
      <c r="A1" s="115" t="str">
        <f t="array" ref="A1:T41">TEST_NYC_Coding!A4:T44</f>
        <v>ID</v>
      </c>
      <c r="B1" s="115" t="s">
        <v>2</v>
      </c>
      <c r="C1" s="115" t="s">
        <v>3</v>
      </c>
      <c r="D1" s="115" t="s">
        <v>4</v>
      </c>
      <c r="E1" s="115" t="s">
        <v>5</v>
      </c>
      <c r="F1" s="115" t="s">
        <v>6</v>
      </c>
      <c r="G1" s="115" t="s">
        <v>7</v>
      </c>
      <c r="H1" s="115" t="s">
        <v>8</v>
      </c>
      <c r="I1" s="115" t="s">
        <v>9</v>
      </c>
      <c r="J1" s="115" t="s">
        <v>10</v>
      </c>
      <c r="K1" s="115" t="s">
        <v>11</v>
      </c>
      <c r="L1" s="115" t="s">
        <v>12</v>
      </c>
      <c r="M1" s="115" t="s">
        <v>13</v>
      </c>
      <c r="N1" s="115" t="s">
        <v>14</v>
      </c>
      <c r="O1" s="115" t="s">
        <v>15</v>
      </c>
      <c r="P1" s="115" t="s">
        <v>16</v>
      </c>
      <c r="Q1" s="116" t="s">
        <v>17</v>
      </c>
      <c r="R1" s="116" t="s">
        <v>18</v>
      </c>
      <c r="S1" s="116" t="s">
        <v>19</v>
      </c>
      <c r="T1" s="116" t="s">
        <v>20</v>
      </c>
      <c r="U1" s="116" t="s">
        <v>1000</v>
      </c>
      <c r="V1" s="116" t="s">
        <v>999</v>
      </c>
      <c r="W1" s="116" t="s">
        <v>1001</v>
      </c>
      <c r="X1" s="116"/>
      <c r="Y1" s="116"/>
      <c r="Z1" s="116"/>
      <c r="AA1" s="116"/>
    </row>
    <row r="2">
      <c r="A2" s="117" t="s">
        <v>22</v>
      </c>
      <c r="B2" s="117" t="s">
        <v>23</v>
      </c>
      <c r="C2" s="117" t="s">
        <v>24</v>
      </c>
      <c r="D2" s="117" t="s">
        <v>25</v>
      </c>
      <c r="E2" s="117"/>
      <c r="F2" s="117" t="s">
        <v>26</v>
      </c>
      <c r="G2" s="117" t="s">
        <v>27</v>
      </c>
      <c r="H2" s="118">
        <v>45750.0</v>
      </c>
      <c r="I2" s="119" t="s">
        <v>28</v>
      </c>
      <c r="J2" s="117" t="s">
        <v>29</v>
      </c>
      <c r="K2" s="117" t="s">
        <v>30</v>
      </c>
      <c r="L2" s="117" t="s">
        <v>31</v>
      </c>
      <c r="M2" s="117" t="s">
        <v>32</v>
      </c>
      <c r="N2" s="117" t="s">
        <v>33</v>
      </c>
      <c r="O2" s="117" t="s">
        <v>34</v>
      </c>
      <c r="P2" s="117" t="s">
        <v>35</v>
      </c>
      <c r="Q2" s="18" t="s">
        <v>36</v>
      </c>
      <c r="R2" s="18"/>
      <c r="S2" s="18" t="s">
        <v>37</v>
      </c>
      <c r="T2" s="120">
        <v>46141.0</v>
      </c>
      <c r="U2" s="18">
        <f t="shared" ref="U2:U41" si="1">IFS($B2="National/Federal", 1, $B2="State/Territory", 2, $B2="Institutional", 3, $B2="Faculty/School", 4, $B2="Course-wide", 5)</f>
        <v>1</v>
      </c>
      <c r="V2" s="18">
        <f t="shared" ref="V2:V41" si="2">IFS($J2="Prohibitive", 0, $J2="Cautious", 1, $J2="Functional", 2, $J2="Encouraging", 3)</f>
        <v>2</v>
      </c>
      <c r="W2" s="18" t="str">
        <f t="shared" ref="W2:W41" si="3">IF($U2&gt;=3,"Internal","External")</f>
        <v>External</v>
      </c>
    </row>
    <row r="3">
      <c r="A3" s="117" t="s">
        <v>38</v>
      </c>
      <c r="B3" s="117" t="s">
        <v>23</v>
      </c>
      <c r="C3" s="117" t="s">
        <v>24</v>
      </c>
      <c r="D3" s="117" t="s">
        <v>39</v>
      </c>
      <c r="E3" s="117"/>
      <c r="F3" s="117" t="s">
        <v>40</v>
      </c>
      <c r="G3" s="117" t="s">
        <v>27</v>
      </c>
      <c r="H3" s="118">
        <v>45860.0</v>
      </c>
      <c r="I3" s="119" t="s">
        <v>41</v>
      </c>
      <c r="J3" s="117" t="s">
        <v>42</v>
      </c>
      <c r="K3" s="117" t="s">
        <v>30</v>
      </c>
      <c r="L3" s="117" t="s">
        <v>43</v>
      </c>
      <c r="M3" s="117" t="s">
        <v>44</v>
      </c>
      <c r="N3" s="117" t="s">
        <v>45</v>
      </c>
      <c r="O3" s="117" t="s">
        <v>34</v>
      </c>
      <c r="P3" s="117" t="s">
        <v>46</v>
      </c>
      <c r="Q3" s="18" t="s">
        <v>47</v>
      </c>
      <c r="R3" s="18"/>
      <c r="S3" s="18" t="s">
        <v>37</v>
      </c>
      <c r="T3" s="120">
        <v>46141.0</v>
      </c>
      <c r="U3" s="18">
        <f t="shared" si="1"/>
        <v>1</v>
      </c>
      <c r="V3" s="18">
        <f t="shared" si="2"/>
        <v>3</v>
      </c>
      <c r="W3" s="18" t="str">
        <f t="shared" si="3"/>
        <v>External</v>
      </c>
    </row>
    <row r="4">
      <c r="A4" s="117" t="s">
        <v>48</v>
      </c>
      <c r="B4" s="117" t="s">
        <v>23</v>
      </c>
      <c r="C4" s="117" t="s">
        <v>24</v>
      </c>
      <c r="D4" s="117" t="s">
        <v>49</v>
      </c>
      <c r="E4" s="117"/>
      <c r="F4" s="117" t="s">
        <v>50</v>
      </c>
      <c r="G4" s="117" t="s">
        <v>51</v>
      </c>
      <c r="H4" s="118">
        <v>45680.0</v>
      </c>
      <c r="I4" s="119" t="s">
        <v>52</v>
      </c>
      <c r="J4" s="117" t="s">
        <v>42</v>
      </c>
      <c r="K4" s="117" t="s">
        <v>30</v>
      </c>
      <c r="L4" s="117" t="s">
        <v>31</v>
      </c>
      <c r="M4" s="117" t="s">
        <v>33</v>
      </c>
      <c r="N4" s="117" t="s">
        <v>45</v>
      </c>
      <c r="O4" s="117" t="s">
        <v>34</v>
      </c>
      <c r="P4" s="117" t="s">
        <v>35</v>
      </c>
      <c r="Q4" s="18" t="s">
        <v>53</v>
      </c>
      <c r="R4" s="18"/>
      <c r="S4" s="18" t="s">
        <v>37</v>
      </c>
      <c r="T4" s="120">
        <v>46137.0</v>
      </c>
      <c r="U4" s="18">
        <f t="shared" si="1"/>
        <v>1</v>
      </c>
      <c r="V4" s="18">
        <f t="shared" si="2"/>
        <v>3</v>
      </c>
      <c r="W4" s="18" t="str">
        <f t="shared" si="3"/>
        <v>External</v>
      </c>
    </row>
    <row r="5">
      <c r="A5" s="117" t="s">
        <v>54</v>
      </c>
      <c r="B5" s="117" t="s">
        <v>23</v>
      </c>
      <c r="C5" s="117" t="s">
        <v>24</v>
      </c>
      <c r="D5" s="117" t="s">
        <v>39</v>
      </c>
      <c r="E5" s="117"/>
      <c r="F5" s="117" t="s">
        <v>55</v>
      </c>
      <c r="G5" s="117" t="s">
        <v>27</v>
      </c>
      <c r="H5" s="118">
        <v>45047.0</v>
      </c>
      <c r="I5" s="119" t="s">
        <v>56</v>
      </c>
      <c r="J5" s="117" t="s">
        <v>57</v>
      </c>
      <c r="K5" s="117" t="s">
        <v>58</v>
      </c>
      <c r="L5" s="117" t="s">
        <v>30</v>
      </c>
      <c r="M5" s="117" t="s">
        <v>44</v>
      </c>
      <c r="N5" s="117" t="s">
        <v>59</v>
      </c>
      <c r="O5" s="117" t="s">
        <v>34</v>
      </c>
      <c r="P5" s="117" t="s">
        <v>35</v>
      </c>
      <c r="Q5" s="18" t="s">
        <v>60</v>
      </c>
      <c r="R5" s="18"/>
      <c r="S5" s="18" t="s">
        <v>37</v>
      </c>
      <c r="T5" s="120">
        <v>46137.0</v>
      </c>
      <c r="U5" s="18">
        <f t="shared" si="1"/>
        <v>1</v>
      </c>
      <c r="V5" s="18">
        <f t="shared" si="2"/>
        <v>1</v>
      </c>
      <c r="W5" s="18" t="str">
        <f t="shared" si="3"/>
        <v>External</v>
      </c>
    </row>
    <row r="6">
      <c r="A6" s="117" t="s">
        <v>61</v>
      </c>
      <c r="B6" s="117" t="s">
        <v>23</v>
      </c>
      <c r="C6" s="117" t="s">
        <v>24</v>
      </c>
      <c r="D6" s="117" t="s">
        <v>62</v>
      </c>
      <c r="E6" s="117"/>
      <c r="F6" s="117" t="s">
        <v>63</v>
      </c>
      <c r="G6" s="117" t="s">
        <v>27</v>
      </c>
      <c r="H6" s="118">
        <v>45499.0</v>
      </c>
      <c r="I6" s="119" t="s">
        <v>64</v>
      </c>
      <c r="J6" s="117" t="s">
        <v>57</v>
      </c>
      <c r="K6" s="117" t="s">
        <v>58</v>
      </c>
      <c r="L6" s="117" t="s">
        <v>30</v>
      </c>
      <c r="M6" s="117" t="s">
        <v>32</v>
      </c>
      <c r="N6" s="117" t="s">
        <v>45</v>
      </c>
      <c r="O6" s="117" t="s">
        <v>34</v>
      </c>
      <c r="P6" s="117" t="s">
        <v>35</v>
      </c>
      <c r="Q6" s="18" t="s">
        <v>65</v>
      </c>
      <c r="R6" s="18" t="s">
        <v>66</v>
      </c>
      <c r="S6" s="18" t="s">
        <v>37</v>
      </c>
      <c r="T6" s="120">
        <v>46137.0</v>
      </c>
      <c r="U6" s="18">
        <f t="shared" si="1"/>
        <v>1</v>
      </c>
      <c r="V6" s="18">
        <f t="shared" si="2"/>
        <v>1</v>
      </c>
      <c r="W6" s="18" t="str">
        <f t="shared" si="3"/>
        <v>External</v>
      </c>
    </row>
    <row r="7">
      <c r="A7" s="117" t="s">
        <v>67</v>
      </c>
      <c r="B7" s="117" t="s">
        <v>68</v>
      </c>
      <c r="C7" s="117" t="s">
        <v>24</v>
      </c>
      <c r="D7" s="117" t="s">
        <v>69</v>
      </c>
      <c r="E7" s="117"/>
      <c r="F7" s="117" t="s">
        <v>70</v>
      </c>
      <c r="G7" s="117" t="s">
        <v>71</v>
      </c>
      <c r="H7" s="118">
        <v>45750.0</v>
      </c>
      <c r="I7" s="119" t="s">
        <v>72</v>
      </c>
      <c r="J7" s="117" t="s">
        <v>57</v>
      </c>
      <c r="K7" s="117" t="s">
        <v>58</v>
      </c>
      <c r="L7" s="117" t="s">
        <v>30</v>
      </c>
      <c r="M7" s="117" t="s">
        <v>32</v>
      </c>
      <c r="N7" s="117" t="s">
        <v>45</v>
      </c>
      <c r="O7" s="117" t="s">
        <v>34</v>
      </c>
      <c r="P7" s="117" t="s">
        <v>35</v>
      </c>
      <c r="Q7" s="18" t="s">
        <v>73</v>
      </c>
      <c r="R7" s="18"/>
      <c r="S7" s="18" t="s">
        <v>37</v>
      </c>
      <c r="T7" s="120">
        <v>46137.0</v>
      </c>
      <c r="U7" s="18">
        <f t="shared" si="1"/>
        <v>2</v>
      </c>
      <c r="V7" s="18">
        <f t="shared" si="2"/>
        <v>1</v>
      </c>
      <c r="W7" s="18" t="str">
        <f t="shared" si="3"/>
        <v>External</v>
      </c>
    </row>
    <row r="8">
      <c r="A8" s="117" t="s">
        <v>74</v>
      </c>
      <c r="B8" s="117" t="s">
        <v>68</v>
      </c>
      <c r="C8" s="117" t="s">
        <v>24</v>
      </c>
      <c r="D8" s="117" t="s">
        <v>75</v>
      </c>
      <c r="E8" s="117"/>
      <c r="F8" s="117" t="s">
        <v>76</v>
      </c>
      <c r="G8" s="117" t="s">
        <v>27</v>
      </c>
      <c r="H8" s="118">
        <v>46006.0</v>
      </c>
      <c r="I8" s="119" t="s">
        <v>77</v>
      </c>
      <c r="J8" s="117" t="s">
        <v>57</v>
      </c>
      <c r="K8" s="117" t="s">
        <v>58</v>
      </c>
      <c r="L8" s="117" t="s">
        <v>43</v>
      </c>
      <c r="M8" s="117" t="s">
        <v>59</v>
      </c>
      <c r="N8" s="117" t="s">
        <v>32</v>
      </c>
      <c r="O8" s="117" t="s">
        <v>34</v>
      </c>
      <c r="P8" s="117" t="s">
        <v>35</v>
      </c>
      <c r="Q8" s="18" t="s">
        <v>78</v>
      </c>
      <c r="R8" s="18"/>
      <c r="S8" s="18" t="s">
        <v>37</v>
      </c>
      <c r="T8" s="120">
        <v>46137.0</v>
      </c>
      <c r="U8" s="18">
        <f t="shared" si="1"/>
        <v>2</v>
      </c>
      <c r="V8" s="18">
        <f t="shared" si="2"/>
        <v>1</v>
      </c>
      <c r="W8" s="18" t="str">
        <f t="shared" si="3"/>
        <v>External</v>
      </c>
    </row>
    <row r="9">
      <c r="A9" s="117" t="s">
        <v>79</v>
      </c>
      <c r="B9" s="117" t="s">
        <v>68</v>
      </c>
      <c r="C9" s="117" t="s">
        <v>24</v>
      </c>
      <c r="D9" s="117" t="s">
        <v>75</v>
      </c>
      <c r="E9" s="117"/>
      <c r="F9" s="117" t="s">
        <v>80</v>
      </c>
      <c r="G9" s="117" t="s">
        <v>27</v>
      </c>
      <c r="H9" s="118">
        <v>46021.0</v>
      </c>
      <c r="I9" s="119" t="s">
        <v>81</v>
      </c>
      <c r="J9" s="117" t="s">
        <v>57</v>
      </c>
      <c r="K9" s="117" t="s">
        <v>82</v>
      </c>
      <c r="L9" s="117" t="s">
        <v>43</v>
      </c>
      <c r="M9" s="117" t="s">
        <v>32</v>
      </c>
      <c r="N9" s="117" t="s">
        <v>45</v>
      </c>
      <c r="O9" s="117" t="s">
        <v>34</v>
      </c>
      <c r="P9" s="117" t="s">
        <v>35</v>
      </c>
      <c r="Q9" s="18" t="s">
        <v>83</v>
      </c>
      <c r="R9" s="18"/>
      <c r="S9" s="18" t="s">
        <v>37</v>
      </c>
      <c r="T9" s="120">
        <v>46137.0</v>
      </c>
      <c r="U9" s="18">
        <f t="shared" si="1"/>
        <v>2</v>
      </c>
      <c r="V9" s="18">
        <f t="shared" si="2"/>
        <v>1</v>
      </c>
      <c r="W9" s="18" t="str">
        <f t="shared" si="3"/>
        <v>External</v>
      </c>
    </row>
    <row r="10">
      <c r="A10" s="117" t="s">
        <v>84</v>
      </c>
      <c r="B10" s="117" t="s">
        <v>68</v>
      </c>
      <c r="C10" s="117" t="s">
        <v>24</v>
      </c>
      <c r="D10" s="117" t="s">
        <v>85</v>
      </c>
      <c r="E10" s="117"/>
      <c r="F10" s="117" t="s">
        <v>86</v>
      </c>
      <c r="G10" s="117" t="s">
        <v>27</v>
      </c>
      <c r="H10" s="118">
        <v>45292.0</v>
      </c>
      <c r="I10" s="119" t="s">
        <v>87</v>
      </c>
      <c r="J10" s="117" t="s">
        <v>57</v>
      </c>
      <c r="K10" s="117" t="s">
        <v>82</v>
      </c>
      <c r="L10" s="117" t="s">
        <v>43</v>
      </c>
      <c r="M10" s="117" t="s">
        <v>32</v>
      </c>
      <c r="N10" s="117" t="s">
        <v>59</v>
      </c>
      <c r="O10" s="117" t="s">
        <v>34</v>
      </c>
      <c r="P10" s="117" t="s">
        <v>35</v>
      </c>
      <c r="Q10" s="18" t="s">
        <v>88</v>
      </c>
      <c r="R10" s="18"/>
      <c r="S10" s="18" t="s">
        <v>37</v>
      </c>
      <c r="T10" s="120">
        <v>46137.0</v>
      </c>
      <c r="U10" s="18">
        <f t="shared" si="1"/>
        <v>2</v>
      </c>
      <c r="V10" s="18">
        <f t="shared" si="2"/>
        <v>1</v>
      </c>
      <c r="W10" s="18" t="str">
        <f t="shared" si="3"/>
        <v>External</v>
      </c>
    </row>
    <row r="11">
      <c r="A11" s="117" t="s">
        <v>89</v>
      </c>
      <c r="B11" s="117" t="s">
        <v>90</v>
      </c>
      <c r="C11" s="117" t="s">
        <v>24</v>
      </c>
      <c r="D11" s="117" t="s">
        <v>91</v>
      </c>
      <c r="E11" s="117" t="s">
        <v>92</v>
      </c>
      <c r="F11" s="117" t="s">
        <v>93</v>
      </c>
      <c r="G11" s="117" t="s">
        <v>94</v>
      </c>
      <c r="H11" s="117">
        <v>2025.0</v>
      </c>
      <c r="I11" s="119" t="s">
        <v>95</v>
      </c>
      <c r="J11" s="117" t="s">
        <v>57</v>
      </c>
      <c r="K11" s="117" t="s">
        <v>82</v>
      </c>
      <c r="L11" s="117" t="s">
        <v>43</v>
      </c>
      <c r="M11" s="117" t="s">
        <v>96</v>
      </c>
      <c r="N11" s="117" t="s">
        <v>32</v>
      </c>
      <c r="O11" s="117" t="s">
        <v>97</v>
      </c>
      <c r="P11" s="117" t="s">
        <v>46</v>
      </c>
      <c r="Q11" s="18" t="s">
        <v>98</v>
      </c>
      <c r="R11" s="18"/>
      <c r="S11" s="18" t="s">
        <v>37</v>
      </c>
      <c r="T11" s="120">
        <v>46137.0</v>
      </c>
      <c r="U11" s="18">
        <f t="shared" si="1"/>
        <v>3</v>
      </c>
      <c r="V11" s="18">
        <f t="shared" si="2"/>
        <v>1</v>
      </c>
      <c r="W11" s="18" t="str">
        <f t="shared" si="3"/>
        <v>Internal</v>
      </c>
    </row>
    <row r="12">
      <c r="A12" s="117" t="s">
        <v>99</v>
      </c>
      <c r="B12" s="117" t="s">
        <v>90</v>
      </c>
      <c r="C12" s="117" t="s">
        <v>24</v>
      </c>
      <c r="D12" s="117" t="s">
        <v>91</v>
      </c>
      <c r="E12" s="117" t="s">
        <v>92</v>
      </c>
      <c r="F12" s="117" t="s">
        <v>100</v>
      </c>
      <c r="G12" s="117" t="s">
        <v>94</v>
      </c>
      <c r="H12" s="118">
        <v>46031.0</v>
      </c>
      <c r="I12" s="119" t="s">
        <v>101</v>
      </c>
      <c r="J12" s="117" t="s">
        <v>29</v>
      </c>
      <c r="K12" s="117" t="s">
        <v>102</v>
      </c>
      <c r="L12" s="117" t="s">
        <v>103</v>
      </c>
      <c r="M12" s="117" t="s">
        <v>32</v>
      </c>
      <c r="N12" s="117" t="s">
        <v>45</v>
      </c>
      <c r="O12" s="117" t="s">
        <v>34</v>
      </c>
      <c r="P12" s="117" t="s">
        <v>46</v>
      </c>
      <c r="Q12" s="18" t="s">
        <v>104</v>
      </c>
      <c r="R12" s="18"/>
      <c r="S12" s="18"/>
      <c r="T12" s="120"/>
      <c r="U12" s="18">
        <f t="shared" si="1"/>
        <v>3</v>
      </c>
      <c r="V12" s="18">
        <f t="shared" si="2"/>
        <v>2</v>
      </c>
      <c r="W12" s="18" t="str">
        <f t="shared" si="3"/>
        <v>Internal</v>
      </c>
    </row>
    <row r="13">
      <c r="A13" s="117" t="s">
        <v>105</v>
      </c>
      <c r="B13" s="117" t="s">
        <v>90</v>
      </c>
      <c r="C13" s="117" t="s">
        <v>24</v>
      </c>
      <c r="D13" s="117" t="s">
        <v>106</v>
      </c>
      <c r="E13" s="117" t="s">
        <v>107</v>
      </c>
      <c r="F13" s="117" t="s">
        <v>108</v>
      </c>
      <c r="G13" s="117" t="s">
        <v>94</v>
      </c>
      <c r="H13" s="118">
        <v>45708.0</v>
      </c>
      <c r="I13" s="119" t="s">
        <v>109</v>
      </c>
      <c r="J13" s="117" t="s">
        <v>29</v>
      </c>
      <c r="K13" s="117" t="s">
        <v>58</v>
      </c>
      <c r="L13" s="117" t="s">
        <v>103</v>
      </c>
      <c r="M13" s="117" t="s">
        <v>44</v>
      </c>
      <c r="N13" s="117" t="s">
        <v>96</v>
      </c>
      <c r="O13" s="117" t="s">
        <v>110</v>
      </c>
      <c r="P13" s="117" t="s">
        <v>111</v>
      </c>
      <c r="Q13" s="18" t="s">
        <v>112</v>
      </c>
      <c r="R13" s="18"/>
      <c r="S13" s="18" t="s">
        <v>37</v>
      </c>
      <c r="T13" s="120">
        <v>46137.0</v>
      </c>
      <c r="U13" s="18">
        <f t="shared" si="1"/>
        <v>3</v>
      </c>
      <c r="V13" s="18">
        <f t="shared" si="2"/>
        <v>2</v>
      </c>
      <c r="W13" s="18" t="str">
        <f t="shared" si="3"/>
        <v>Internal</v>
      </c>
    </row>
    <row r="14">
      <c r="A14" s="117" t="s">
        <v>113</v>
      </c>
      <c r="B14" s="117" t="s">
        <v>114</v>
      </c>
      <c r="C14" s="117" t="s">
        <v>24</v>
      </c>
      <c r="D14" s="117" t="s">
        <v>106</v>
      </c>
      <c r="E14" s="117" t="s">
        <v>107</v>
      </c>
      <c r="F14" s="117" t="s">
        <v>115</v>
      </c>
      <c r="G14" s="117" t="s">
        <v>94</v>
      </c>
      <c r="H14" s="117">
        <v>2025.0</v>
      </c>
      <c r="I14" s="119" t="s">
        <v>116</v>
      </c>
      <c r="J14" s="117" t="s">
        <v>29</v>
      </c>
      <c r="K14" s="117" t="s">
        <v>58</v>
      </c>
      <c r="L14" s="117" t="s">
        <v>103</v>
      </c>
      <c r="M14" s="117" t="s">
        <v>96</v>
      </c>
      <c r="N14" s="117" t="s">
        <v>44</v>
      </c>
      <c r="O14" s="117" t="s">
        <v>97</v>
      </c>
      <c r="P14" s="117" t="s">
        <v>111</v>
      </c>
      <c r="Q14" s="18" t="s">
        <v>117</v>
      </c>
      <c r="R14" s="18"/>
      <c r="S14" s="18" t="s">
        <v>37</v>
      </c>
      <c r="T14" s="120">
        <v>46137.0</v>
      </c>
      <c r="U14" s="18">
        <f t="shared" si="1"/>
        <v>4</v>
      </c>
      <c r="V14" s="18">
        <f t="shared" si="2"/>
        <v>2</v>
      </c>
      <c r="W14" s="18" t="str">
        <f t="shared" si="3"/>
        <v>Internal</v>
      </c>
    </row>
    <row r="15">
      <c r="A15" s="117" t="s">
        <v>118</v>
      </c>
      <c r="B15" s="117" t="s">
        <v>114</v>
      </c>
      <c r="C15" s="117" t="s">
        <v>24</v>
      </c>
      <c r="D15" s="117" t="s">
        <v>119</v>
      </c>
      <c r="E15" s="117" t="s">
        <v>107</v>
      </c>
      <c r="F15" s="117" t="s">
        <v>120</v>
      </c>
      <c r="G15" s="117" t="s">
        <v>121</v>
      </c>
      <c r="H15" s="117"/>
      <c r="I15" s="119" t="s">
        <v>122</v>
      </c>
      <c r="J15" s="117" t="s">
        <v>29</v>
      </c>
      <c r="K15" s="117" t="s">
        <v>58</v>
      </c>
      <c r="L15" s="117" t="s">
        <v>103</v>
      </c>
      <c r="M15" s="117" t="s">
        <v>45</v>
      </c>
      <c r="N15" s="117" t="s">
        <v>44</v>
      </c>
      <c r="O15" s="117" t="s">
        <v>97</v>
      </c>
      <c r="P15" s="117" t="s">
        <v>46</v>
      </c>
      <c r="Q15" s="18" t="s">
        <v>123</v>
      </c>
      <c r="R15" s="18"/>
      <c r="S15" s="18" t="s">
        <v>37</v>
      </c>
      <c r="T15" s="120">
        <v>46137.0</v>
      </c>
      <c r="U15" s="18">
        <f t="shared" si="1"/>
        <v>4</v>
      </c>
      <c r="V15" s="18">
        <f t="shared" si="2"/>
        <v>2</v>
      </c>
      <c r="W15" s="18" t="str">
        <f t="shared" si="3"/>
        <v>Internal</v>
      </c>
    </row>
    <row r="16">
      <c r="A16" s="117" t="s">
        <v>124</v>
      </c>
      <c r="B16" s="117" t="s">
        <v>114</v>
      </c>
      <c r="C16" s="117" t="s">
        <v>24</v>
      </c>
      <c r="D16" s="117" t="s">
        <v>125</v>
      </c>
      <c r="E16" s="117" t="s">
        <v>107</v>
      </c>
      <c r="F16" s="117" t="s">
        <v>126</v>
      </c>
      <c r="G16" s="117" t="s">
        <v>94</v>
      </c>
      <c r="H16" s="117">
        <v>2026.0</v>
      </c>
      <c r="I16" s="119" t="s">
        <v>127</v>
      </c>
      <c r="J16" s="117" t="s">
        <v>57</v>
      </c>
      <c r="K16" s="117" t="s">
        <v>30</v>
      </c>
      <c r="L16" s="117" t="s">
        <v>103</v>
      </c>
      <c r="M16" s="117" t="s">
        <v>96</v>
      </c>
      <c r="N16" s="117" t="s">
        <v>44</v>
      </c>
      <c r="O16" s="117" t="s">
        <v>110</v>
      </c>
      <c r="P16" s="117" t="s">
        <v>46</v>
      </c>
      <c r="Q16" s="18" t="s">
        <v>128</v>
      </c>
      <c r="R16" s="18"/>
      <c r="S16" s="18" t="s">
        <v>37</v>
      </c>
      <c r="T16" s="120">
        <v>46143.0</v>
      </c>
      <c r="U16" s="18">
        <f t="shared" si="1"/>
        <v>4</v>
      </c>
      <c r="V16" s="18">
        <f t="shared" si="2"/>
        <v>1</v>
      </c>
      <c r="W16" s="18" t="str">
        <f t="shared" si="3"/>
        <v>Internal</v>
      </c>
    </row>
    <row r="17">
      <c r="A17" s="117" t="s">
        <v>129</v>
      </c>
      <c r="B17" s="117" t="s">
        <v>114</v>
      </c>
      <c r="C17" s="117" t="s">
        <v>24</v>
      </c>
      <c r="D17" s="117" t="s">
        <v>130</v>
      </c>
      <c r="E17" s="117" t="s">
        <v>107</v>
      </c>
      <c r="F17" s="117" t="s">
        <v>131</v>
      </c>
      <c r="G17" s="117" t="s">
        <v>132</v>
      </c>
      <c r="H17" s="117"/>
      <c r="I17" s="119" t="s">
        <v>133</v>
      </c>
      <c r="J17" s="117" t="s">
        <v>29</v>
      </c>
      <c r="K17" s="117" t="s">
        <v>58</v>
      </c>
      <c r="L17" s="117" t="s">
        <v>103</v>
      </c>
      <c r="M17" s="117" t="s">
        <v>45</v>
      </c>
      <c r="N17" s="117" t="s">
        <v>96</v>
      </c>
      <c r="O17" s="117" t="s">
        <v>97</v>
      </c>
      <c r="P17" s="117" t="s">
        <v>111</v>
      </c>
      <c r="Q17" s="18" t="s">
        <v>134</v>
      </c>
      <c r="R17" s="18"/>
      <c r="S17" s="18" t="s">
        <v>37</v>
      </c>
      <c r="T17" s="120">
        <v>46143.0</v>
      </c>
      <c r="U17" s="18">
        <f t="shared" si="1"/>
        <v>4</v>
      </c>
      <c r="V17" s="18">
        <f t="shared" si="2"/>
        <v>2</v>
      </c>
      <c r="W17" s="18" t="str">
        <f t="shared" si="3"/>
        <v>Internal</v>
      </c>
    </row>
    <row r="18">
      <c r="A18" s="117" t="s">
        <v>135</v>
      </c>
      <c r="B18" s="117" t="s">
        <v>90</v>
      </c>
      <c r="C18" s="117" t="s">
        <v>24</v>
      </c>
      <c r="D18" s="117" t="s">
        <v>136</v>
      </c>
      <c r="E18" s="117" t="s">
        <v>137</v>
      </c>
      <c r="F18" s="117" t="s">
        <v>138</v>
      </c>
      <c r="G18" s="117" t="s">
        <v>94</v>
      </c>
      <c r="H18" s="117">
        <v>2025.0</v>
      </c>
      <c r="I18" s="119" t="s">
        <v>139</v>
      </c>
      <c r="J18" s="117" t="s">
        <v>42</v>
      </c>
      <c r="K18" s="117" t="s">
        <v>30</v>
      </c>
      <c r="L18" s="117" t="s">
        <v>30</v>
      </c>
      <c r="M18" s="117" t="s">
        <v>45</v>
      </c>
      <c r="N18" s="117" t="s">
        <v>33</v>
      </c>
      <c r="O18" s="117" t="s">
        <v>34</v>
      </c>
      <c r="P18" s="117" t="s">
        <v>46</v>
      </c>
      <c r="Q18" s="18" t="s">
        <v>140</v>
      </c>
      <c r="R18" s="18"/>
      <c r="S18" s="18" t="s">
        <v>37</v>
      </c>
      <c r="T18" s="120">
        <v>46137.0</v>
      </c>
      <c r="U18" s="18">
        <f t="shared" si="1"/>
        <v>3</v>
      </c>
      <c r="V18" s="18">
        <f t="shared" si="2"/>
        <v>3</v>
      </c>
      <c r="W18" s="18" t="str">
        <f t="shared" si="3"/>
        <v>Internal</v>
      </c>
    </row>
    <row r="19">
      <c r="A19" s="117" t="s">
        <v>141</v>
      </c>
      <c r="B19" s="117" t="s">
        <v>114</v>
      </c>
      <c r="C19" s="117" t="s">
        <v>24</v>
      </c>
      <c r="D19" s="117" t="s">
        <v>142</v>
      </c>
      <c r="E19" s="117" t="s">
        <v>137</v>
      </c>
      <c r="F19" s="117" t="s">
        <v>143</v>
      </c>
      <c r="G19" s="117" t="s">
        <v>94</v>
      </c>
      <c r="H19" s="118">
        <v>45888.0</v>
      </c>
      <c r="I19" s="119" t="s">
        <v>144</v>
      </c>
      <c r="J19" s="117" t="s">
        <v>42</v>
      </c>
      <c r="K19" s="117" t="s">
        <v>82</v>
      </c>
      <c r="L19" s="117" t="s">
        <v>103</v>
      </c>
      <c r="M19" s="117" t="s">
        <v>44</v>
      </c>
      <c r="N19" s="117" t="s">
        <v>32</v>
      </c>
      <c r="O19" s="117" t="s">
        <v>97</v>
      </c>
      <c r="P19" s="117" t="s">
        <v>46</v>
      </c>
      <c r="Q19" s="18" t="s">
        <v>145</v>
      </c>
      <c r="R19" s="18"/>
      <c r="S19" s="18" t="s">
        <v>37</v>
      </c>
      <c r="T19" s="120">
        <v>46138.0</v>
      </c>
      <c r="U19" s="18">
        <f t="shared" si="1"/>
        <v>4</v>
      </c>
      <c r="V19" s="18">
        <f t="shared" si="2"/>
        <v>3</v>
      </c>
      <c r="W19" s="18" t="str">
        <f t="shared" si="3"/>
        <v>Internal</v>
      </c>
    </row>
    <row r="20">
      <c r="A20" s="117" t="s">
        <v>146</v>
      </c>
      <c r="B20" s="117" t="s">
        <v>114</v>
      </c>
      <c r="C20" s="117" t="s">
        <v>24</v>
      </c>
      <c r="D20" s="117" t="s">
        <v>147</v>
      </c>
      <c r="E20" s="117" t="s">
        <v>137</v>
      </c>
      <c r="F20" s="117" t="s">
        <v>148</v>
      </c>
      <c r="G20" s="117" t="s">
        <v>94</v>
      </c>
      <c r="H20" s="117">
        <v>2025.0</v>
      </c>
      <c r="I20" s="119" t="s">
        <v>149</v>
      </c>
      <c r="J20" s="117" t="s">
        <v>57</v>
      </c>
      <c r="K20" s="117" t="s">
        <v>82</v>
      </c>
      <c r="L20" s="117" t="s">
        <v>150</v>
      </c>
      <c r="M20" s="117" t="s">
        <v>96</v>
      </c>
      <c r="N20" s="117" t="s">
        <v>59</v>
      </c>
      <c r="O20" s="117" t="s">
        <v>97</v>
      </c>
      <c r="P20" s="117" t="s">
        <v>151</v>
      </c>
      <c r="Q20" s="18" t="s">
        <v>152</v>
      </c>
      <c r="R20" s="18"/>
      <c r="S20" s="18" t="s">
        <v>37</v>
      </c>
      <c r="T20" s="120">
        <v>46137.0</v>
      </c>
      <c r="U20" s="18">
        <f t="shared" si="1"/>
        <v>4</v>
      </c>
      <c r="V20" s="18">
        <f t="shared" si="2"/>
        <v>1</v>
      </c>
      <c r="W20" s="18" t="str">
        <f t="shared" si="3"/>
        <v>Internal</v>
      </c>
    </row>
    <row r="21">
      <c r="A21" s="117" t="s">
        <v>153</v>
      </c>
      <c r="B21" s="117" t="s">
        <v>90</v>
      </c>
      <c r="C21" s="117" t="s">
        <v>24</v>
      </c>
      <c r="D21" s="117" t="s">
        <v>154</v>
      </c>
      <c r="E21" s="117" t="s">
        <v>137</v>
      </c>
      <c r="F21" s="117" t="s">
        <v>155</v>
      </c>
      <c r="G21" s="117" t="s">
        <v>94</v>
      </c>
      <c r="H21" s="117">
        <v>2025.0</v>
      </c>
      <c r="I21" s="119" t="s">
        <v>156</v>
      </c>
      <c r="J21" s="117" t="s">
        <v>29</v>
      </c>
      <c r="K21" s="117" t="s">
        <v>82</v>
      </c>
      <c r="L21" s="117" t="s">
        <v>103</v>
      </c>
      <c r="M21" s="117" t="s">
        <v>45</v>
      </c>
      <c r="N21" s="117" t="s">
        <v>44</v>
      </c>
      <c r="O21" s="117" t="s">
        <v>97</v>
      </c>
      <c r="P21" s="117" t="s">
        <v>46</v>
      </c>
      <c r="Q21" s="18" t="s">
        <v>157</v>
      </c>
      <c r="R21" s="18"/>
      <c r="S21" s="18" t="s">
        <v>37</v>
      </c>
      <c r="T21" s="120">
        <v>46137.0</v>
      </c>
      <c r="U21" s="18">
        <f t="shared" si="1"/>
        <v>3</v>
      </c>
      <c r="V21" s="18">
        <f t="shared" si="2"/>
        <v>2</v>
      </c>
      <c r="W21" s="18" t="str">
        <f t="shared" si="3"/>
        <v>Internal</v>
      </c>
    </row>
    <row r="22">
      <c r="A22" s="117" t="s">
        <v>158</v>
      </c>
      <c r="B22" s="117" t="s">
        <v>114</v>
      </c>
      <c r="C22" s="117" t="s">
        <v>24</v>
      </c>
      <c r="D22" s="117" t="s">
        <v>159</v>
      </c>
      <c r="E22" s="117" t="s">
        <v>137</v>
      </c>
      <c r="F22" s="117" t="s">
        <v>160</v>
      </c>
      <c r="G22" s="117" t="s">
        <v>94</v>
      </c>
      <c r="H22" s="117"/>
      <c r="I22" s="119" t="s">
        <v>161</v>
      </c>
      <c r="J22" s="117" t="s">
        <v>57</v>
      </c>
      <c r="K22" s="117" t="s">
        <v>82</v>
      </c>
      <c r="L22" s="117" t="s">
        <v>103</v>
      </c>
      <c r="M22" s="117" t="s">
        <v>96</v>
      </c>
      <c r="N22" s="117" t="s">
        <v>33</v>
      </c>
      <c r="O22" s="117" t="s">
        <v>110</v>
      </c>
      <c r="P22" s="117" t="s">
        <v>46</v>
      </c>
      <c r="Q22" s="18" t="s">
        <v>162</v>
      </c>
      <c r="R22" s="18"/>
      <c r="S22" s="18" t="s">
        <v>37</v>
      </c>
      <c r="T22" s="120">
        <v>46143.0</v>
      </c>
      <c r="U22" s="18">
        <f t="shared" si="1"/>
        <v>4</v>
      </c>
      <c r="V22" s="18">
        <f t="shared" si="2"/>
        <v>1</v>
      </c>
      <c r="W22" s="18" t="str">
        <f t="shared" si="3"/>
        <v>Internal</v>
      </c>
    </row>
    <row r="23">
      <c r="A23" s="117" t="s">
        <v>163</v>
      </c>
      <c r="B23" s="117" t="s">
        <v>114</v>
      </c>
      <c r="C23" s="117" t="s">
        <v>24</v>
      </c>
      <c r="D23" s="117" t="s">
        <v>164</v>
      </c>
      <c r="E23" s="117" t="s">
        <v>137</v>
      </c>
      <c r="F23" s="117" t="s">
        <v>165</v>
      </c>
      <c r="G23" s="117" t="s">
        <v>132</v>
      </c>
      <c r="H23" s="121">
        <v>45717.0</v>
      </c>
      <c r="I23" s="119" t="s">
        <v>166</v>
      </c>
      <c r="J23" s="117" t="s">
        <v>29</v>
      </c>
      <c r="K23" s="117" t="s">
        <v>58</v>
      </c>
      <c r="L23" s="117" t="s">
        <v>103</v>
      </c>
      <c r="M23" s="117" t="s">
        <v>44</v>
      </c>
      <c r="N23" s="117" t="s">
        <v>45</v>
      </c>
      <c r="O23" s="117" t="s">
        <v>34</v>
      </c>
      <c r="P23" s="117" t="s">
        <v>111</v>
      </c>
      <c r="Q23" s="18" t="s">
        <v>167</v>
      </c>
      <c r="R23" s="18"/>
      <c r="S23" s="18"/>
      <c r="T23" s="120"/>
      <c r="U23" s="18">
        <f t="shared" si="1"/>
        <v>4</v>
      </c>
      <c r="V23" s="18">
        <f t="shared" si="2"/>
        <v>2</v>
      </c>
      <c r="W23" s="18" t="str">
        <f t="shared" si="3"/>
        <v>Internal</v>
      </c>
    </row>
    <row r="24">
      <c r="A24" s="117" t="s">
        <v>168</v>
      </c>
      <c r="B24" s="117" t="s">
        <v>114</v>
      </c>
      <c r="C24" s="117" t="s">
        <v>24</v>
      </c>
      <c r="D24" s="117" t="s">
        <v>169</v>
      </c>
      <c r="E24" s="117" t="s">
        <v>92</v>
      </c>
      <c r="F24" s="117" t="s">
        <v>170</v>
      </c>
      <c r="G24" s="117" t="s">
        <v>132</v>
      </c>
      <c r="H24" s="117">
        <v>2025.0</v>
      </c>
      <c r="I24" s="119" t="s">
        <v>171</v>
      </c>
      <c r="J24" s="117" t="s">
        <v>29</v>
      </c>
      <c r="K24" s="117" t="s">
        <v>102</v>
      </c>
      <c r="L24" s="117" t="s">
        <v>103</v>
      </c>
      <c r="M24" s="117" t="s">
        <v>44</v>
      </c>
      <c r="N24" s="117" t="s">
        <v>96</v>
      </c>
      <c r="O24" s="117" t="s">
        <v>97</v>
      </c>
      <c r="P24" s="117" t="s">
        <v>46</v>
      </c>
      <c r="Q24" s="18" t="s">
        <v>172</v>
      </c>
      <c r="R24" s="18"/>
      <c r="S24" s="18" t="s">
        <v>37</v>
      </c>
      <c r="T24" s="120">
        <v>46137.0</v>
      </c>
      <c r="U24" s="18">
        <f t="shared" si="1"/>
        <v>4</v>
      </c>
      <c r="V24" s="18">
        <f t="shared" si="2"/>
        <v>2</v>
      </c>
      <c r="W24" s="18" t="str">
        <f t="shared" si="3"/>
        <v>Internal</v>
      </c>
    </row>
    <row r="25">
      <c r="A25" s="117" t="s">
        <v>173</v>
      </c>
      <c r="B25" s="117" t="s">
        <v>174</v>
      </c>
      <c r="C25" s="117" t="s">
        <v>24</v>
      </c>
      <c r="D25" s="117" t="s">
        <v>175</v>
      </c>
      <c r="E25" s="117" t="s">
        <v>92</v>
      </c>
      <c r="F25" s="117" t="s">
        <v>176</v>
      </c>
      <c r="G25" s="117" t="s">
        <v>177</v>
      </c>
      <c r="H25" s="117" t="s">
        <v>178</v>
      </c>
      <c r="I25" s="122" t="s">
        <v>179</v>
      </c>
      <c r="J25" s="117" t="s">
        <v>180</v>
      </c>
      <c r="K25" s="117" t="s">
        <v>30</v>
      </c>
      <c r="L25" s="117" t="s">
        <v>103</v>
      </c>
      <c r="M25" s="117" t="s">
        <v>96</v>
      </c>
      <c r="N25" s="117" t="s">
        <v>44</v>
      </c>
      <c r="O25" s="117" t="s">
        <v>110</v>
      </c>
      <c r="P25" s="117" t="s">
        <v>151</v>
      </c>
      <c r="Q25" s="18" t="s">
        <v>181</v>
      </c>
      <c r="R25" s="18"/>
      <c r="S25" s="18" t="s">
        <v>37</v>
      </c>
      <c r="T25" s="120">
        <v>46137.0</v>
      </c>
      <c r="U25" s="18">
        <f t="shared" si="1"/>
        <v>5</v>
      </c>
      <c r="V25" s="18">
        <f t="shared" si="2"/>
        <v>0</v>
      </c>
      <c r="W25" s="18" t="str">
        <f t="shared" si="3"/>
        <v>Internal</v>
      </c>
    </row>
    <row r="26">
      <c r="A26" s="117" t="s">
        <v>183</v>
      </c>
      <c r="B26" s="117" t="s">
        <v>174</v>
      </c>
      <c r="C26" s="117" t="s">
        <v>24</v>
      </c>
      <c r="D26" s="117" t="s">
        <v>184</v>
      </c>
      <c r="E26" s="117" t="s">
        <v>92</v>
      </c>
      <c r="F26" s="117" t="s">
        <v>185</v>
      </c>
      <c r="G26" s="117" t="s">
        <v>177</v>
      </c>
      <c r="H26" s="117" t="s">
        <v>178</v>
      </c>
      <c r="I26" s="122" t="s">
        <v>186</v>
      </c>
      <c r="J26" s="117" t="s">
        <v>180</v>
      </c>
      <c r="K26" s="117" t="s">
        <v>30</v>
      </c>
      <c r="L26" s="117" t="s">
        <v>103</v>
      </c>
      <c r="M26" s="117" t="s">
        <v>44</v>
      </c>
      <c r="N26" s="117" t="s">
        <v>96</v>
      </c>
      <c r="O26" s="117" t="s">
        <v>110</v>
      </c>
      <c r="P26" s="117" t="s">
        <v>151</v>
      </c>
      <c r="Q26" s="18" t="s">
        <v>187</v>
      </c>
      <c r="R26" s="18"/>
      <c r="S26" s="18" t="s">
        <v>37</v>
      </c>
      <c r="T26" s="120">
        <v>46137.0</v>
      </c>
      <c r="U26" s="18">
        <f t="shared" si="1"/>
        <v>5</v>
      </c>
      <c r="V26" s="18">
        <f t="shared" si="2"/>
        <v>0</v>
      </c>
      <c r="W26" s="18" t="str">
        <f t="shared" si="3"/>
        <v>Internal</v>
      </c>
    </row>
    <row r="27">
      <c r="A27" s="117" t="s">
        <v>188</v>
      </c>
      <c r="B27" s="117" t="s">
        <v>174</v>
      </c>
      <c r="C27" s="117" t="s">
        <v>24</v>
      </c>
      <c r="D27" s="117" t="s">
        <v>189</v>
      </c>
      <c r="E27" s="117" t="s">
        <v>92</v>
      </c>
      <c r="F27" s="117" t="s">
        <v>190</v>
      </c>
      <c r="G27" s="117" t="s">
        <v>177</v>
      </c>
      <c r="H27" s="117" t="s">
        <v>178</v>
      </c>
      <c r="I27" s="122" t="s">
        <v>191</v>
      </c>
      <c r="J27" s="117" t="s">
        <v>42</v>
      </c>
      <c r="K27" s="117" t="s">
        <v>30</v>
      </c>
      <c r="L27" s="117" t="s">
        <v>103</v>
      </c>
      <c r="M27" s="117" t="s">
        <v>33</v>
      </c>
      <c r="N27" s="117" t="s">
        <v>45</v>
      </c>
      <c r="O27" s="117" t="s">
        <v>97</v>
      </c>
      <c r="P27" s="117" t="s">
        <v>151</v>
      </c>
      <c r="Q27" s="18" t="s">
        <v>192</v>
      </c>
      <c r="R27" s="18"/>
      <c r="S27" s="18" t="s">
        <v>37</v>
      </c>
      <c r="T27" s="120">
        <v>46137.0</v>
      </c>
      <c r="U27" s="18">
        <f t="shared" si="1"/>
        <v>5</v>
      </c>
      <c r="V27" s="18">
        <f t="shared" si="2"/>
        <v>3</v>
      </c>
      <c r="W27" s="18" t="str">
        <f t="shared" si="3"/>
        <v>Internal</v>
      </c>
    </row>
    <row r="28">
      <c r="A28" s="117" t="s">
        <v>193</v>
      </c>
      <c r="B28" s="117" t="s">
        <v>174</v>
      </c>
      <c r="C28" s="117" t="s">
        <v>24</v>
      </c>
      <c r="D28" s="117" t="s">
        <v>194</v>
      </c>
      <c r="E28" s="117" t="s">
        <v>92</v>
      </c>
      <c r="F28" s="117" t="s">
        <v>195</v>
      </c>
      <c r="G28" s="117" t="s">
        <v>177</v>
      </c>
      <c r="H28" s="117" t="s">
        <v>196</v>
      </c>
      <c r="I28" s="122" t="s">
        <v>197</v>
      </c>
      <c r="J28" s="117" t="s">
        <v>42</v>
      </c>
      <c r="K28" s="117" t="s">
        <v>82</v>
      </c>
      <c r="L28" s="117" t="s">
        <v>103</v>
      </c>
      <c r="M28" s="117" t="s">
        <v>33</v>
      </c>
      <c r="N28" s="117" t="s">
        <v>45</v>
      </c>
      <c r="O28" s="117" t="s">
        <v>97</v>
      </c>
      <c r="P28" s="117" t="s">
        <v>151</v>
      </c>
      <c r="Q28" s="18" t="s">
        <v>198</v>
      </c>
      <c r="R28" s="18"/>
      <c r="S28" s="18" t="s">
        <v>37</v>
      </c>
      <c r="T28" s="120">
        <v>46137.0</v>
      </c>
      <c r="U28" s="18">
        <f t="shared" si="1"/>
        <v>5</v>
      </c>
      <c r="V28" s="18">
        <f t="shared" si="2"/>
        <v>3</v>
      </c>
      <c r="W28" s="18" t="str">
        <f t="shared" si="3"/>
        <v>Internal</v>
      </c>
    </row>
    <row r="29">
      <c r="A29" s="117" t="s">
        <v>199</v>
      </c>
      <c r="B29" s="117" t="s">
        <v>174</v>
      </c>
      <c r="C29" s="117" t="s">
        <v>24</v>
      </c>
      <c r="D29" s="117" t="s">
        <v>200</v>
      </c>
      <c r="E29" s="117" t="s">
        <v>92</v>
      </c>
      <c r="F29" s="117" t="s">
        <v>201</v>
      </c>
      <c r="G29" s="117" t="s">
        <v>177</v>
      </c>
      <c r="H29" s="117" t="s">
        <v>178</v>
      </c>
      <c r="I29" s="122" t="s">
        <v>202</v>
      </c>
      <c r="J29" s="117" t="s">
        <v>29</v>
      </c>
      <c r="K29" s="117" t="s">
        <v>102</v>
      </c>
      <c r="L29" s="117" t="s">
        <v>103</v>
      </c>
      <c r="M29" s="117" t="s">
        <v>96</v>
      </c>
      <c r="N29" s="117" t="s">
        <v>44</v>
      </c>
      <c r="O29" s="117" t="s">
        <v>97</v>
      </c>
      <c r="P29" s="117" t="s">
        <v>151</v>
      </c>
      <c r="Q29" s="18" t="s">
        <v>203</v>
      </c>
      <c r="R29" s="18"/>
      <c r="S29" s="18"/>
      <c r="T29" s="120"/>
      <c r="U29" s="18">
        <f t="shared" si="1"/>
        <v>5</v>
      </c>
      <c r="V29" s="18">
        <f t="shared" si="2"/>
        <v>2</v>
      </c>
      <c r="W29" s="18" t="str">
        <f t="shared" si="3"/>
        <v>Internal</v>
      </c>
    </row>
    <row r="30">
      <c r="A30" s="117" t="s">
        <v>204</v>
      </c>
      <c r="B30" s="117" t="s">
        <v>174</v>
      </c>
      <c r="C30" s="117" t="s">
        <v>24</v>
      </c>
      <c r="D30" s="117" t="s">
        <v>205</v>
      </c>
      <c r="E30" s="117" t="s">
        <v>92</v>
      </c>
      <c r="F30" s="117" t="s">
        <v>206</v>
      </c>
      <c r="G30" s="117" t="s">
        <v>177</v>
      </c>
      <c r="H30" s="117" t="s">
        <v>178</v>
      </c>
      <c r="I30" s="122" t="s">
        <v>207</v>
      </c>
      <c r="J30" s="117" t="s">
        <v>29</v>
      </c>
      <c r="K30" s="117" t="s">
        <v>82</v>
      </c>
      <c r="L30" s="117" t="s">
        <v>103</v>
      </c>
      <c r="M30" s="117" t="s">
        <v>45</v>
      </c>
      <c r="N30" s="117" t="s">
        <v>96</v>
      </c>
      <c r="O30" s="117" t="s">
        <v>97</v>
      </c>
      <c r="P30" s="117" t="s">
        <v>151</v>
      </c>
      <c r="Q30" s="18" t="s">
        <v>208</v>
      </c>
      <c r="R30" s="18"/>
      <c r="S30" s="18"/>
      <c r="T30" s="120"/>
      <c r="U30" s="18">
        <f t="shared" si="1"/>
        <v>5</v>
      </c>
      <c r="V30" s="18">
        <f t="shared" si="2"/>
        <v>2</v>
      </c>
      <c r="W30" s="18" t="str">
        <f t="shared" si="3"/>
        <v>Internal</v>
      </c>
    </row>
    <row r="31">
      <c r="A31" s="117" t="s">
        <v>209</v>
      </c>
      <c r="B31" s="117" t="s">
        <v>174</v>
      </c>
      <c r="C31" s="117" t="s">
        <v>24</v>
      </c>
      <c r="D31" s="117" t="s">
        <v>210</v>
      </c>
      <c r="E31" s="117" t="s">
        <v>107</v>
      </c>
      <c r="F31" s="117" t="s">
        <v>211</v>
      </c>
      <c r="G31" s="117" t="s">
        <v>177</v>
      </c>
      <c r="H31" s="117" t="s">
        <v>178</v>
      </c>
      <c r="I31" s="122" t="s">
        <v>212</v>
      </c>
      <c r="J31" s="117" t="s">
        <v>29</v>
      </c>
      <c r="K31" s="117" t="s">
        <v>82</v>
      </c>
      <c r="L31" s="117" t="s">
        <v>103</v>
      </c>
      <c r="M31" s="117" t="s">
        <v>33</v>
      </c>
      <c r="N31" s="117" t="s">
        <v>44</v>
      </c>
      <c r="O31" s="117" t="s">
        <v>97</v>
      </c>
      <c r="P31" s="117" t="s">
        <v>151</v>
      </c>
      <c r="Q31" s="18" t="s">
        <v>213</v>
      </c>
      <c r="R31" s="18"/>
      <c r="S31" s="18" t="s">
        <v>37</v>
      </c>
      <c r="T31" s="120">
        <v>46137.0</v>
      </c>
      <c r="U31" s="18">
        <f t="shared" si="1"/>
        <v>5</v>
      </c>
      <c r="V31" s="18">
        <f t="shared" si="2"/>
        <v>2</v>
      </c>
      <c r="W31" s="18" t="str">
        <f t="shared" si="3"/>
        <v>Internal</v>
      </c>
    </row>
    <row r="32">
      <c r="A32" s="117" t="s">
        <v>214</v>
      </c>
      <c r="B32" s="117" t="s">
        <v>174</v>
      </c>
      <c r="C32" s="117" t="s">
        <v>24</v>
      </c>
      <c r="D32" s="117" t="s">
        <v>215</v>
      </c>
      <c r="E32" s="117" t="s">
        <v>107</v>
      </c>
      <c r="F32" s="117" t="s">
        <v>216</v>
      </c>
      <c r="G32" s="117" t="s">
        <v>177</v>
      </c>
      <c r="H32" s="117" t="s">
        <v>178</v>
      </c>
      <c r="I32" s="122" t="s">
        <v>217</v>
      </c>
      <c r="J32" s="117" t="s">
        <v>180</v>
      </c>
      <c r="K32" s="117" t="s">
        <v>82</v>
      </c>
      <c r="L32" s="117" t="s">
        <v>103</v>
      </c>
      <c r="M32" s="117" t="s">
        <v>44</v>
      </c>
      <c r="N32" s="117" t="s">
        <v>96</v>
      </c>
      <c r="O32" s="117" t="s">
        <v>110</v>
      </c>
      <c r="P32" s="117" t="s">
        <v>151</v>
      </c>
      <c r="Q32" s="18" t="s">
        <v>218</v>
      </c>
      <c r="R32" s="18"/>
      <c r="S32" s="18" t="s">
        <v>37</v>
      </c>
      <c r="T32" s="120">
        <v>46137.0</v>
      </c>
      <c r="U32" s="18">
        <f t="shared" si="1"/>
        <v>5</v>
      </c>
      <c r="V32" s="18">
        <f t="shared" si="2"/>
        <v>0</v>
      </c>
      <c r="W32" s="18" t="str">
        <f t="shared" si="3"/>
        <v>Internal</v>
      </c>
    </row>
    <row r="33">
      <c r="A33" s="117" t="s">
        <v>220</v>
      </c>
      <c r="B33" s="117" t="s">
        <v>174</v>
      </c>
      <c r="C33" s="117" t="s">
        <v>24</v>
      </c>
      <c r="D33" s="117" t="s">
        <v>221</v>
      </c>
      <c r="E33" s="117" t="s">
        <v>107</v>
      </c>
      <c r="F33" s="117" t="s">
        <v>222</v>
      </c>
      <c r="G33" s="117" t="s">
        <v>177</v>
      </c>
      <c r="H33" s="117" t="s">
        <v>223</v>
      </c>
      <c r="I33" s="122" t="s">
        <v>224</v>
      </c>
      <c r="J33" s="117" t="s">
        <v>42</v>
      </c>
      <c r="K33" s="117" t="s">
        <v>82</v>
      </c>
      <c r="L33" s="117" t="s">
        <v>103</v>
      </c>
      <c r="M33" s="117" t="s">
        <v>96</v>
      </c>
      <c r="N33" s="117" t="s">
        <v>44</v>
      </c>
      <c r="O33" s="117" t="s">
        <v>97</v>
      </c>
      <c r="P33" s="117" t="s">
        <v>151</v>
      </c>
      <c r="Q33" s="18" t="s">
        <v>225</v>
      </c>
      <c r="R33" s="18"/>
      <c r="S33" s="18" t="s">
        <v>37</v>
      </c>
      <c r="T33" s="120">
        <v>46137.0</v>
      </c>
      <c r="U33" s="18">
        <f t="shared" si="1"/>
        <v>5</v>
      </c>
      <c r="V33" s="18">
        <f t="shared" si="2"/>
        <v>3</v>
      </c>
      <c r="W33" s="18" t="str">
        <f t="shared" si="3"/>
        <v>Internal</v>
      </c>
    </row>
    <row r="34">
      <c r="A34" s="117" t="s">
        <v>226</v>
      </c>
      <c r="B34" s="117" t="s">
        <v>174</v>
      </c>
      <c r="C34" s="117" t="s">
        <v>24</v>
      </c>
      <c r="D34" s="117" t="s">
        <v>227</v>
      </c>
      <c r="E34" s="117" t="s">
        <v>107</v>
      </c>
      <c r="F34" s="117" t="s">
        <v>228</v>
      </c>
      <c r="G34" s="117" t="s">
        <v>177</v>
      </c>
      <c r="H34" s="117" t="s">
        <v>223</v>
      </c>
      <c r="I34" s="122" t="s">
        <v>229</v>
      </c>
      <c r="J34" s="117" t="s">
        <v>57</v>
      </c>
      <c r="K34" s="117" t="s">
        <v>30</v>
      </c>
      <c r="L34" s="117" t="s">
        <v>103</v>
      </c>
      <c r="M34" s="117" t="s">
        <v>44</v>
      </c>
      <c r="N34" s="117" t="s">
        <v>96</v>
      </c>
      <c r="O34" s="117" t="s">
        <v>34</v>
      </c>
      <c r="P34" s="117" t="s">
        <v>151</v>
      </c>
      <c r="Q34" s="18" t="s">
        <v>230</v>
      </c>
      <c r="R34" s="18"/>
      <c r="S34" s="18" t="s">
        <v>37</v>
      </c>
      <c r="T34" s="120">
        <v>46137.0</v>
      </c>
      <c r="U34" s="18">
        <f t="shared" si="1"/>
        <v>5</v>
      </c>
      <c r="V34" s="18">
        <f t="shared" si="2"/>
        <v>1</v>
      </c>
      <c r="W34" s="18" t="str">
        <f t="shared" si="3"/>
        <v>Internal</v>
      </c>
    </row>
    <row r="35">
      <c r="A35" s="117" t="s">
        <v>231</v>
      </c>
      <c r="B35" s="117" t="s">
        <v>174</v>
      </c>
      <c r="C35" s="117" t="s">
        <v>24</v>
      </c>
      <c r="D35" s="117" t="s">
        <v>232</v>
      </c>
      <c r="E35" s="117" t="s">
        <v>107</v>
      </c>
      <c r="F35" s="117" t="s">
        <v>233</v>
      </c>
      <c r="G35" s="117" t="s">
        <v>177</v>
      </c>
      <c r="H35" s="117" t="s">
        <v>223</v>
      </c>
      <c r="I35" s="122" t="s">
        <v>234</v>
      </c>
      <c r="J35" s="117" t="s">
        <v>57</v>
      </c>
      <c r="K35" s="117" t="s">
        <v>30</v>
      </c>
      <c r="L35" s="117" t="s">
        <v>103</v>
      </c>
      <c r="M35" s="117" t="s">
        <v>44</v>
      </c>
      <c r="N35" s="117" t="s">
        <v>96</v>
      </c>
      <c r="O35" s="117" t="s">
        <v>34</v>
      </c>
      <c r="P35" s="117" t="s">
        <v>151</v>
      </c>
      <c r="Q35" s="18" t="s">
        <v>235</v>
      </c>
      <c r="R35" s="18"/>
      <c r="S35" s="18"/>
      <c r="T35" s="120"/>
      <c r="U35" s="18">
        <f t="shared" si="1"/>
        <v>5</v>
      </c>
      <c r="V35" s="18">
        <f t="shared" si="2"/>
        <v>1</v>
      </c>
      <c r="W35" s="18" t="str">
        <f t="shared" si="3"/>
        <v>Internal</v>
      </c>
    </row>
    <row r="36">
      <c r="A36" s="117" t="s">
        <v>236</v>
      </c>
      <c r="B36" s="117" t="s">
        <v>174</v>
      </c>
      <c r="C36" s="117" t="s">
        <v>24</v>
      </c>
      <c r="D36" s="117" t="s">
        <v>237</v>
      </c>
      <c r="E36" s="117" t="s">
        <v>107</v>
      </c>
      <c r="F36" s="117" t="s">
        <v>238</v>
      </c>
      <c r="G36" s="117" t="s">
        <v>177</v>
      </c>
      <c r="H36" s="117" t="s">
        <v>239</v>
      </c>
      <c r="I36" s="122" t="s">
        <v>240</v>
      </c>
      <c r="J36" s="117" t="s">
        <v>29</v>
      </c>
      <c r="K36" s="117" t="s">
        <v>82</v>
      </c>
      <c r="L36" s="117" t="s">
        <v>103</v>
      </c>
      <c r="M36" s="117" t="s">
        <v>96</v>
      </c>
      <c r="N36" s="117" t="s">
        <v>44</v>
      </c>
      <c r="O36" s="117" t="s">
        <v>110</v>
      </c>
      <c r="P36" s="117" t="s">
        <v>151</v>
      </c>
      <c r="Q36" s="18" t="s">
        <v>241</v>
      </c>
      <c r="R36" s="18"/>
      <c r="S36" s="18"/>
      <c r="T36" s="120"/>
      <c r="U36" s="18">
        <f t="shared" si="1"/>
        <v>5</v>
      </c>
      <c r="V36" s="18">
        <f t="shared" si="2"/>
        <v>2</v>
      </c>
      <c r="W36" s="18" t="str">
        <f t="shared" si="3"/>
        <v>Internal</v>
      </c>
    </row>
    <row r="37">
      <c r="A37" s="117" t="s">
        <v>242</v>
      </c>
      <c r="B37" s="117" t="s">
        <v>174</v>
      </c>
      <c r="C37" s="117" t="s">
        <v>24</v>
      </c>
      <c r="D37" s="117" t="s">
        <v>243</v>
      </c>
      <c r="E37" s="117" t="s">
        <v>137</v>
      </c>
      <c r="F37" s="117" t="s">
        <v>244</v>
      </c>
      <c r="G37" s="117" t="s">
        <v>177</v>
      </c>
      <c r="H37" s="117">
        <v>2025.0</v>
      </c>
      <c r="I37" s="122" t="s">
        <v>245</v>
      </c>
      <c r="J37" s="117" t="s">
        <v>29</v>
      </c>
      <c r="K37" s="117" t="s">
        <v>82</v>
      </c>
      <c r="L37" s="117" t="s">
        <v>103</v>
      </c>
      <c r="M37" s="117" t="s">
        <v>44</v>
      </c>
      <c r="N37" s="117" t="s">
        <v>96</v>
      </c>
      <c r="O37" s="117" t="s">
        <v>97</v>
      </c>
      <c r="P37" s="117" t="s">
        <v>151</v>
      </c>
      <c r="Q37" s="18" t="s">
        <v>246</v>
      </c>
      <c r="R37" s="18"/>
      <c r="S37" s="18" t="s">
        <v>37</v>
      </c>
      <c r="T37" s="120">
        <v>46137.0</v>
      </c>
      <c r="U37" s="18">
        <f t="shared" si="1"/>
        <v>5</v>
      </c>
      <c r="V37" s="18">
        <f t="shared" si="2"/>
        <v>2</v>
      </c>
      <c r="W37" s="18" t="str">
        <f t="shared" si="3"/>
        <v>Internal</v>
      </c>
    </row>
    <row r="38">
      <c r="A38" s="117" t="s">
        <v>247</v>
      </c>
      <c r="B38" s="117" t="s">
        <v>174</v>
      </c>
      <c r="C38" s="117" t="s">
        <v>24</v>
      </c>
      <c r="D38" s="117" t="s">
        <v>248</v>
      </c>
      <c r="E38" s="117" t="s">
        <v>137</v>
      </c>
      <c r="F38" s="117" t="s">
        <v>249</v>
      </c>
      <c r="G38" s="117" t="s">
        <v>177</v>
      </c>
      <c r="H38" s="117" t="s">
        <v>178</v>
      </c>
      <c r="I38" s="122" t="s">
        <v>250</v>
      </c>
      <c r="J38" s="117" t="s">
        <v>29</v>
      </c>
      <c r="K38" s="117" t="s">
        <v>82</v>
      </c>
      <c r="L38" s="117" t="s">
        <v>103</v>
      </c>
      <c r="M38" s="117" t="s">
        <v>44</v>
      </c>
      <c r="N38" s="117" t="s">
        <v>96</v>
      </c>
      <c r="O38" s="117" t="s">
        <v>97</v>
      </c>
      <c r="P38" s="117" t="s">
        <v>151</v>
      </c>
      <c r="Q38" s="18" t="s">
        <v>251</v>
      </c>
      <c r="R38" s="18"/>
      <c r="S38" s="18" t="s">
        <v>37</v>
      </c>
      <c r="T38" s="120">
        <v>46137.0</v>
      </c>
      <c r="U38" s="18">
        <f t="shared" si="1"/>
        <v>5</v>
      </c>
      <c r="V38" s="18">
        <f t="shared" si="2"/>
        <v>2</v>
      </c>
      <c r="W38" s="18" t="str">
        <f t="shared" si="3"/>
        <v>Internal</v>
      </c>
    </row>
    <row r="39">
      <c r="A39" s="117" t="s">
        <v>252</v>
      </c>
      <c r="B39" s="117" t="s">
        <v>174</v>
      </c>
      <c r="C39" s="117" t="s">
        <v>24</v>
      </c>
      <c r="D39" s="117" t="s">
        <v>253</v>
      </c>
      <c r="E39" s="117" t="s">
        <v>137</v>
      </c>
      <c r="F39" s="117" t="s">
        <v>254</v>
      </c>
      <c r="G39" s="117" t="s">
        <v>177</v>
      </c>
      <c r="H39" s="117">
        <v>2025.0</v>
      </c>
      <c r="I39" s="122" t="s">
        <v>255</v>
      </c>
      <c r="J39" s="117" t="s">
        <v>29</v>
      </c>
      <c r="K39" s="117" t="s">
        <v>82</v>
      </c>
      <c r="L39" s="117" t="s">
        <v>103</v>
      </c>
      <c r="M39" s="117" t="s">
        <v>44</v>
      </c>
      <c r="N39" s="117" t="s">
        <v>96</v>
      </c>
      <c r="O39" s="117" t="s">
        <v>97</v>
      </c>
      <c r="P39" s="117" t="s">
        <v>151</v>
      </c>
      <c r="Q39" s="18" t="s">
        <v>256</v>
      </c>
      <c r="R39" s="18"/>
      <c r="S39" s="18" t="s">
        <v>37</v>
      </c>
      <c r="T39" s="120">
        <v>46137.0</v>
      </c>
      <c r="U39" s="18">
        <f t="shared" si="1"/>
        <v>5</v>
      </c>
      <c r="V39" s="18">
        <f t="shared" si="2"/>
        <v>2</v>
      </c>
      <c r="W39" s="18" t="str">
        <f t="shared" si="3"/>
        <v>Internal</v>
      </c>
    </row>
    <row r="40">
      <c r="A40" s="117" t="s">
        <v>257</v>
      </c>
      <c r="B40" s="117" t="s">
        <v>174</v>
      </c>
      <c r="C40" s="117" t="s">
        <v>24</v>
      </c>
      <c r="D40" s="117" t="s">
        <v>258</v>
      </c>
      <c r="E40" s="117" t="s">
        <v>137</v>
      </c>
      <c r="F40" s="117" t="s">
        <v>259</v>
      </c>
      <c r="G40" s="117" t="s">
        <v>177</v>
      </c>
      <c r="H40" s="117" t="s">
        <v>223</v>
      </c>
      <c r="I40" s="122" t="s">
        <v>260</v>
      </c>
      <c r="J40" s="117" t="s">
        <v>42</v>
      </c>
      <c r="K40" s="117" t="s">
        <v>82</v>
      </c>
      <c r="L40" s="117" t="s">
        <v>43</v>
      </c>
      <c r="M40" s="117" t="s">
        <v>96</v>
      </c>
      <c r="N40" s="117" t="s">
        <v>33</v>
      </c>
      <c r="O40" s="117" t="s">
        <v>97</v>
      </c>
      <c r="P40" s="117" t="s">
        <v>151</v>
      </c>
      <c r="Q40" s="18" t="s">
        <v>261</v>
      </c>
      <c r="R40" s="18"/>
      <c r="S40" s="18" t="s">
        <v>37</v>
      </c>
      <c r="T40" s="120">
        <v>46137.0</v>
      </c>
      <c r="U40" s="18">
        <f t="shared" si="1"/>
        <v>5</v>
      </c>
      <c r="V40" s="18">
        <f t="shared" si="2"/>
        <v>3</v>
      </c>
      <c r="W40" s="18" t="str">
        <f t="shared" si="3"/>
        <v>Internal</v>
      </c>
    </row>
    <row r="41">
      <c r="A41" s="117" t="s">
        <v>262</v>
      </c>
      <c r="B41" s="117" t="s">
        <v>174</v>
      </c>
      <c r="C41" s="117" t="s">
        <v>24</v>
      </c>
      <c r="D41" s="117" t="s">
        <v>263</v>
      </c>
      <c r="E41" s="117" t="s">
        <v>137</v>
      </c>
      <c r="F41" s="117" t="s">
        <v>264</v>
      </c>
      <c r="G41" s="117" t="s">
        <v>177</v>
      </c>
      <c r="H41" s="117" t="s">
        <v>223</v>
      </c>
      <c r="I41" s="122" t="s">
        <v>265</v>
      </c>
      <c r="J41" s="117" t="s">
        <v>57</v>
      </c>
      <c r="K41" s="117" t="s">
        <v>82</v>
      </c>
      <c r="L41" s="117" t="s">
        <v>103</v>
      </c>
      <c r="M41" s="117" t="s">
        <v>96</v>
      </c>
      <c r="N41" s="117" t="s">
        <v>44</v>
      </c>
      <c r="O41" s="117" t="s">
        <v>110</v>
      </c>
      <c r="P41" s="117" t="s">
        <v>151</v>
      </c>
      <c r="Q41" s="18" t="s">
        <v>266</v>
      </c>
      <c r="R41" s="18"/>
      <c r="S41" s="18"/>
      <c r="T41" s="18"/>
      <c r="U41" s="18">
        <f t="shared" si="1"/>
        <v>5</v>
      </c>
      <c r="V41" s="18">
        <f t="shared" si="2"/>
        <v>1</v>
      </c>
      <c r="W41" s="18" t="str">
        <f t="shared" si="3"/>
        <v>Internal</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s>
  <drawing r:id="rId4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9.86"/>
    <col customWidth="1" min="3" max="6" width="3.86"/>
    <col customWidth="1" min="7" max="8" width="10.86"/>
    <col customWidth="1" min="10" max="10" width="5.86"/>
    <col customWidth="1" min="11" max="14" width="3.86"/>
    <col customWidth="1" min="15" max="15" width="10.86"/>
  </cols>
  <sheetData>
    <row r="1"/>
    <row r="2"/>
    <row r="3">
      <c r="K3" s="133"/>
      <c r="L3" s="133"/>
      <c r="M3" s="133"/>
      <c r="N3" s="133"/>
      <c r="O3" s="133"/>
    </row>
    <row r="4">
      <c r="K4" s="133"/>
      <c r="L4" s="133"/>
      <c r="M4" s="133"/>
      <c r="N4" s="133"/>
      <c r="O4" s="133"/>
    </row>
    <row r="5">
      <c r="K5" s="133"/>
      <c r="L5" s="133"/>
      <c r="M5" s="133"/>
      <c r="N5" s="133"/>
      <c r="O5" s="133"/>
    </row>
    <row r="6">
      <c r="K6" s="133"/>
      <c r="L6" s="133"/>
      <c r="M6" s="133"/>
      <c r="N6" s="133"/>
      <c r="O6" s="133"/>
    </row>
    <row r="7">
      <c r="K7" s="133"/>
      <c r="L7" s="133"/>
      <c r="M7" s="133"/>
      <c r="N7" s="133"/>
      <c r="O7" s="133"/>
    </row>
    <row r="8"/>
    <row r="9"/>
    <row r="10"/>
    <row r="11"/>
    <row r="12"/>
    <row r="13"/>
    <row r="16"/>
    <row r="17"/>
    <row r="18"/>
    <row r="19"/>
    <row r="20"/>
    <row r="21"/>
    <row r="22"/>
    <row r="23"/>
    <row r="24"/>
    <row r="25"/>
    <row r="26"/>
    <row r="27"/>
    <row r="28"/>
    <row r="29"/>
    <row r="30"/>
  </sheetData>
  <conditionalFormatting sqref="C3:H13">
    <cfRule type="colorScale" priority="1">
      <colorScale>
        <cfvo type="formula" val="0"/>
        <cfvo type="percentile" val="50"/>
        <cfvo type="formula" val="3"/>
        <color rgb="FFE67C73"/>
        <color rgb="FFFFFFFF"/>
        <color rgb="FF57BB8A"/>
      </colorScale>
    </cfRule>
  </conditionalFormatting>
  <conditionalFormatting sqref="C18:F22 C24:F28">
    <cfRule type="colorScale" priority="2">
      <colorScale>
        <cfvo type="formula" val="0"/>
        <cfvo type="formula" val="12"/>
        <color rgb="FFFFFFFF"/>
        <color rgb="FFFFD666"/>
      </colorScale>
    </cfRule>
  </conditionalFormatting>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hidden="1" min="4" max="4" width="14.43"/>
    <col hidden="1" min="6" max="6" width="14.43"/>
    <col hidden="1" min="8" max="9" width="14.43"/>
    <col hidden="1" min="14" max="14" width="14.43"/>
    <col hidden="1" min="17" max="20" width="14.43"/>
  </cols>
  <sheetData>
    <row r="1">
      <c r="A1" s="115" t="str">
        <f t="array" ref="A1:T41">TEST_HK_Coding!A4:T44</f>
        <v>ID</v>
      </c>
      <c r="B1" s="115" t="s">
        <v>2</v>
      </c>
      <c r="C1" s="115" t="s">
        <v>3</v>
      </c>
      <c r="D1" s="115" t="s">
        <v>4</v>
      </c>
      <c r="E1" s="115" t="s">
        <v>5</v>
      </c>
      <c r="F1" s="115" t="s">
        <v>6</v>
      </c>
      <c r="G1" s="115" t="s">
        <v>7</v>
      </c>
      <c r="H1" s="115" t="s">
        <v>8</v>
      </c>
      <c r="I1" s="115" t="s">
        <v>9</v>
      </c>
      <c r="J1" s="115" t="s">
        <v>10</v>
      </c>
      <c r="K1" s="115" t="s">
        <v>11</v>
      </c>
      <c r="L1" s="115" t="s">
        <v>12</v>
      </c>
      <c r="M1" s="115" t="s">
        <v>13</v>
      </c>
      <c r="N1" s="115" t="s">
        <v>14</v>
      </c>
      <c r="O1" s="115" t="s">
        <v>15</v>
      </c>
      <c r="P1" s="115" t="s">
        <v>16</v>
      </c>
      <c r="Q1" s="116" t="s">
        <v>17</v>
      </c>
      <c r="R1" s="116" t="s">
        <v>18</v>
      </c>
      <c r="S1" s="116" t="s">
        <v>19</v>
      </c>
      <c r="T1" s="116" t="s">
        <v>20</v>
      </c>
      <c r="U1" s="116" t="s">
        <v>1000</v>
      </c>
      <c r="V1" s="116" t="s">
        <v>999</v>
      </c>
      <c r="W1" s="116" t="s">
        <v>1001</v>
      </c>
      <c r="X1" s="116"/>
      <c r="Y1" s="116"/>
      <c r="Z1" s="116"/>
    </row>
    <row r="2">
      <c r="A2" s="117" t="s">
        <v>471</v>
      </c>
      <c r="B2" s="117" t="s">
        <v>23</v>
      </c>
      <c r="C2" s="117" t="s">
        <v>472</v>
      </c>
      <c r="D2" s="117" t="s">
        <v>473</v>
      </c>
      <c r="E2" s="117"/>
      <c r="F2" s="117" t="s">
        <v>474</v>
      </c>
      <c r="G2" s="117" t="s">
        <v>27</v>
      </c>
      <c r="H2" s="117">
        <v>2021.0</v>
      </c>
      <c r="I2" s="119" t="s">
        <v>475</v>
      </c>
      <c r="J2" s="117" t="s">
        <v>42</v>
      </c>
      <c r="K2" s="117" t="s">
        <v>30</v>
      </c>
      <c r="L2" s="117" t="s">
        <v>30</v>
      </c>
      <c r="M2" s="117" t="s">
        <v>33</v>
      </c>
      <c r="N2" s="117"/>
      <c r="O2" s="117" t="s">
        <v>300</v>
      </c>
      <c r="P2" s="117" t="s">
        <v>35</v>
      </c>
      <c r="Q2" s="18" t="s">
        <v>476</v>
      </c>
      <c r="R2" s="18" t="s">
        <v>477</v>
      </c>
      <c r="S2" s="18" t="s">
        <v>182</v>
      </c>
      <c r="T2" s="125">
        <v>46138.0</v>
      </c>
      <c r="U2" s="18">
        <f t="shared" ref="U2:U41" si="1">IFS($B2="National/Federal", 1, $B2="State/Territory", 2, $B2="Institutional", 3, $B2="Faculty/School", 4, $B2="Course-wide", 5)</f>
        <v>1</v>
      </c>
      <c r="V2" s="18">
        <f t="shared" ref="V2:V41" si="2">IFS($J2="Prohibitive", 0, $J2="Cautious", 1, $J2="Functional", 2, $J2="Encouraging", 3)</f>
        <v>3</v>
      </c>
      <c r="W2" s="18" t="str">
        <f t="shared" ref="W2:W41" si="3">IF($U2&gt;=3,"Internal","External")</f>
        <v>External</v>
      </c>
    </row>
    <row r="3">
      <c r="A3" s="117" t="s">
        <v>478</v>
      </c>
      <c r="B3" s="117" t="s">
        <v>23</v>
      </c>
      <c r="C3" s="117" t="s">
        <v>472</v>
      </c>
      <c r="D3" s="117" t="s">
        <v>479</v>
      </c>
      <c r="E3" s="117"/>
      <c r="F3" s="117" t="s">
        <v>480</v>
      </c>
      <c r="G3" s="117" t="s">
        <v>27</v>
      </c>
      <c r="H3" s="118">
        <v>45896.0</v>
      </c>
      <c r="I3" s="119" t="s">
        <v>481</v>
      </c>
      <c r="J3" s="117" t="s">
        <v>42</v>
      </c>
      <c r="K3" s="117" t="s">
        <v>30</v>
      </c>
      <c r="L3" s="117" t="s">
        <v>31</v>
      </c>
      <c r="M3" s="117" t="s">
        <v>44</v>
      </c>
      <c r="N3" s="117" t="s">
        <v>45</v>
      </c>
      <c r="O3" s="117" t="s">
        <v>300</v>
      </c>
      <c r="P3" s="117" t="s">
        <v>35</v>
      </c>
      <c r="Q3" s="18" t="s">
        <v>482</v>
      </c>
      <c r="R3" s="18" t="s">
        <v>483</v>
      </c>
      <c r="S3" s="18" t="s">
        <v>182</v>
      </c>
      <c r="T3" s="125">
        <v>46138.0</v>
      </c>
      <c r="U3" s="18">
        <f t="shared" si="1"/>
        <v>1</v>
      </c>
      <c r="V3" s="18">
        <f t="shared" si="2"/>
        <v>3</v>
      </c>
      <c r="W3" s="18" t="str">
        <f t="shared" si="3"/>
        <v>External</v>
      </c>
    </row>
    <row r="4">
      <c r="A4" s="117" t="s">
        <v>484</v>
      </c>
      <c r="B4" s="117" t="s">
        <v>68</v>
      </c>
      <c r="C4" s="117" t="s">
        <v>472</v>
      </c>
      <c r="D4" s="117" t="s">
        <v>485</v>
      </c>
      <c r="E4" s="117"/>
      <c r="F4" s="117" t="s">
        <v>486</v>
      </c>
      <c r="G4" s="117" t="s">
        <v>27</v>
      </c>
      <c r="H4" s="134">
        <v>45991.0</v>
      </c>
      <c r="I4" s="119" t="s">
        <v>487</v>
      </c>
      <c r="J4" s="117" t="s">
        <v>57</v>
      </c>
      <c r="K4" s="117" t="s">
        <v>58</v>
      </c>
      <c r="L4" s="117" t="s">
        <v>31</v>
      </c>
      <c r="M4" s="117" t="s">
        <v>32</v>
      </c>
      <c r="N4" s="117" t="s">
        <v>45</v>
      </c>
      <c r="O4" s="117" t="s">
        <v>34</v>
      </c>
      <c r="P4" s="117" t="s">
        <v>35</v>
      </c>
      <c r="Q4" s="18" t="s">
        <v>488</v>
      </c>
      <c r="R4" s="18" t="s">
        <v>489</v>
      </c>
      <c r="S4" s="18" t="s">
        <v>37</v>
      </c>
      <c r="T4" s="120">
        <v>46137.0</v>
      </c>
      <c r="U4" s="18">
        <f t="shared" si="1"/>
        <v>2</v>
      </c>
      <c r="V4" s="18">
        <f t="shared" si="2"/>
        <v>1</v>
      </c>
      <c r="W4" s="18" t="str">
        <f t="shared" si="3"/>
        <v>External</v>
      </c>
    </row>
    <row r="5">
      <c r="A5" s="117" t="s">
        <v>490</v>
      </c>
      <c r="B5" s="117" t="s">
        <v>68</v>
      </c>
      <c r="C5" s="117" t="s">
        <v>472</v>
      </c>
      <c r="D5" s="117" t="s">
        <v>485</v>
      </c>
      <c r="E5" s="117"/>
      <c r="F5" s="117" t="s">
        <v>491</v>
      </c>
      <c r="G5" s="117" t="s">
        <v>27</v>
      </c>
      <c r="H5" s="134">
        <v>45992.0</v>
      </c>
      <c r="I5" s="119" t="s">
        <v>492</v>
      </c>
      <c r="J5" s="117" t="s">
        <v>57</v>
      </c>
      <c r="K5" s="117" t="s">
        <v>82</v>
      </c>
      <c r="L5" s="117" t="s">
        <v>31</v>
      </c>
      <c r="M5" s="117" t="s">
        <v>32</v>
      </c>
      <c r="N5" s="117" t="s">
        <v>45</v>
      </c>
      <c r="O5" s="117" t="s">
        <v>34</v>
      </c>
      <c r="P5" s="117" t="s">
        <v>35</v>
      </c>
      <c r="Q5" s="18" t="s">
        <v>493</v>
      </c>
      <c r="R5" s="18"/>
      <c r="S5" s="18" t="s">
        <v>37</v>
      </c>
      <c r="T5" s="120">
        <v>46138.0</v>
      </c>
      <c r="U5" s="18">
        <f t="shared" si="1"/>
        <v>2</v>
      </c>
      <c r="V5" s="18">
        <f t="shared" si="2"/>
        <v>1</v>
      </c>
      <c r="W5" s="18" t="str">
        <f t="shared" si="3"/>
        <v>External</v>
      </c>
    </row>
    <row r="6">
      <c r="A6" s="117" t="s">
        <v>494</v>
      </c>
      <c r="B6" s="117" t="s">
        <v>68</v>
      </c>
      <c r="C6" s="117" t="s">
        <v>472</v>
      </c>
      <c r="D6" s="117" t="s">
        <v>495</v>
      </c>
      <c r="E6" s="117"/>
      <c r="F6" s="117" t="s">
        <v>496</v>
      </c>
      <c r="G6" s="117" t="s">
        <v>27</v>
      </c>
      <c r="H6" s="134">
        <v>44917.0</v>
      </c>
      <c r="I6" s="119" t="s">
        <v>497</v>
      </c>
      <c r="J6" s="117" t="s">
        <v>42</v>
      </c>
      <c r="K6" s="117" t="s">
        <v>30</v>
      </c>
      <c r="L6" s="117" t="s">
        <v>31</v>
      </c>
      <c r="M6" s="117" t="s">
        <v>33</v>
      </c>
      <c r="N6" s="117" t="s">
        <v>45</v>
      </c>
      <c r="O6" s="117" t="s">
        <v>34</v>
      </c>
      <c r="P6" s="117" t="s">
        <v>35</v>
      </c>
      <c r="Q6" s="18" t="s">
        <v>498</v>
      </c>
      <c r="R6" s="18"/>
      <c r="S6" s="18"/>
      <c r="T6" s="18"/>
      <c r="U6" s="18">
        <f t="shared" si="1"/>
        <v>2</v>
      </c>
      <c r="V6" s="18">
        <f t="shared" si="2"/>
        <v>3</v>
      </c>
      <c r="W6" s="18" t="str">
        <f t="shared" si="3"/>
        <v>External</v>
      </c>
    </row>
    <row r="7">
      <c r="A7" s="117" t="s">
        <v>499</v>
      </c>
      <c r="B7" s="117" t="s">
        <v>68</v>
      </c>
      <c r="C7" s="117" t="s">
        <v>472</v>
      </c>
      <c r="D7" s="117" t="s">
        <v>500</v>
      </c>
      <c r="E7" s="117"/>
      <c r="F7" s="117" t="s">
        <v>501</v>
      </c>
      <c r="G7" s="117" t="s">
        <v>27</v>
      </c>
      <c r="H7" s="118">
        <v>45105.0</v>
      </c>
      <c r="I7" s="119" t="s">
        <v>502</v>
      </c>
      <c r="J7" s="117" t="s">
        <v>42</v>
      </c>
      <c r="K7" s="117" t="s">
        <v>30</v>
      </c>
      <c r="L7" s="117" t="s">
        <v>30</v>
      </c>
      <c r="M7" s="117" t="s">
        <v>44</v>
      </c>
      <c r="N7" s="117" t="s">
        <v>45</v>
      </c>
      <c r="O7" s="117" t="s">
        <v>34</v>
      </c>
      <c r="P7" s="117" t="s">
        <v>503</v>
      </c>
      <c r="Q7" s="18" t="s">
        <v>504</v>
      </c>
      <c r="R7" s="18"/>
      <c r="S7" s="18" t="s">
        <v>37</v>
      </c>
      <c r="T7" s="120">
        <v>46138.0</v>
      </c>
      <c r="U7" s="18">
        <f t="shared" si="1"/>
        <v>2</v>
      </c>
      <c r="V7" s="18">
        <f t="shared" si="2"/>
        <v>3</v>
      </c>
      <c r="W7" s="18" t="str">
        <f t="shared" si="3"/>
        <v>External</v>
      </c>
    </row>
    <row r="8">
      <c r="A8" s="117" t="s">
        <v>505</v>
      </c>
      <c r="B8" s="117" t="s">
        <v>68</v>
      </c>
      <c r="C8" s="117" t="s">
        <v>472</v>
      </c>
      <c r="D8" s="119" t="s">
        <v>506</v>
      </c>
      <c r="E8" s="117"/>
      <c r="F8" s="117" t="s">
        <v>507</v>
      </c>
      <c r="G8" s="117" t="s">
        <v>71</v>
      </c>
      <c r="H8" s="135">
        <v>46138.0</v>
      </c>
      <c r="I8" s="119" t="s">
        <v>508</v>
      </c>
      <c r="J8" s="117" t="s">
        <v>42</v>
      </c>
      <c r="K8" s="117" t="s">
        <v>30</v>
      </c>
      <c r="L8" s="117" t="s">
        <v>30</v>
      </c>
      <c r="M8" s="117" t="s">
        <v>45</v>
      </c>
      <c r="N8" s="117" t="s">
        <v>44</v>
      </c>
      <c r="O8" s="117" t="s">
        <v>34</v>
      </c>
      <c r="P8" s="117" t="s">
        <v>46</v>
      </c>
      <c r="Q8" s="18" t="s">
        <v>509</v>
      </c>
      <c r="R8" s="18"/>
      <c r="S8" s="18" t="s">
        <v>182</v>
      </c>
      <c r="T8" s="125">
        <v>46138.0</v>
      </c>
      <c r="U8" s="18">
        <f t="shared" si="1"/>
        <v>2</v>
      </c>
      <c r="V8" s="18">
        <f t="shared" si="2"/>
        <v>3</v>
      </c>
      <c r="W8" s="18" t="str">
        <f t="shared" si="3"/>
        <v>External</v>
      </c>
    </row>
    <row r="9">
      <c r="A9" s="117" t="s">
        <v>510</v>
      </c>
      <c r="B9" s="117" t="s">
        <v>68</v>
      </c>
      <c r="C9" s="117" t="s">
        <v>472</v>
      </c>
      <c r="D9" s="117" t="s">
        <v>511</v>
      </c>
      <c r="E9" s="117"/>
      <c r="F9" s="117" t="s">
        <v>512</v>
      </c>
      <c r="G9" s="117" t="s">
        <v>278</v>
      </c>
      <c r="H9" s="117"/>
      <c r="I9" s="119" t="s">
        <v>513</v>
      </c>
      <c r="J9" s="117" t="s">
        <v>42</v>
      </c>
      <c r="K9" s="117" t="s">
        <v>30</v>
      </c>
      <c r="L9" s="117" t="s">
        <v>30</v>
      </c>
      <c r="M9" s="117" t="s">
        <v>44</v>
      </c>
      <c r="N9" s="117" t="s">
        <v>45</v>
      </c>
      <c r="O9" s="117" t="s">
        <v>300</v>
      </c>
      <c r="P9" s="117" t="s">
        <v>35</v>
      </c>
      <c r="Q9" s="18" t="s">
        <v>514</v>
      </c>
      <c r="R9" s="18"/>
      <c r="S9" s="18"/>
      <c r="T9" s="18"/>
      <c r="U9" s="18">
        <f t="shared" si="1"/>
        <v>2</v>
      </c>
      <c r="V9" s="18">
        <f t="shared" si="2"/>
        <v>3</v>
      </c>
      <c r="W9" s="18" t="str">
        <f t="shared" si="3"/>
        <v>External</v>
      </c>
    </row>
    <row r="10">
      <c r="A10" s="117" t="s">
        <v>515</v>
      </c>
      <c r="B10" s="117" t="s">
        <v>68</v>
      </c>
      <c r="C10" s="117" t="s">
        <v>472</v>
      </c>
      <c r="D10" s="117" t="s">
        <v>516</v>
      </c>
      <c r="E10" s="117"/>
      <c r="F10" s="117" t="s">
        <v>517</v>
      </c>
      <c r="G10" s="117" t="s">
        <v>132</v>
      </c>
      <c r="H10" s="117"/>
      <c r="I10" s="119" t="s">
        <v>518</v>
      </c>
      <c r="J10" s="117" t="s">
        <v>42</v>
      </c>
      <c r="K10" s="117" t="s">
        <v>30</v>
      </c>
      <c r="L10" s="117" t="s">
        <v>30</v>
      </c>
      <c r="M10" s="117" t="s">
        <v>44</v>
      </c>
      <c r="N10" s="117"/>
      <c r="O10" s="117" t="s">
        <v>300</v>
      </c>
      <c r="P10" s="117" t="s">
        <v>35</v>
      </c>
      <c r="Q10" s="18" t="s">
        <v>519</v>
      </c>
      <c r="R10" s="18" t="s">
        <v>520</v>
      </c>
      <c r="S10" s="18" t="s">
        <v>182</v>
      </c>
      <c r="T10" s="125">
        <v>46138.0</v>
      </c>
      <c r="U10" s="18">
        <f t="shared" si="1"/>
        <v>2</v>
      </c>
      <c r="V10" s="18">
        <f t="shared" si="2"/>
        <v>3</v>
      </c>
      <c r="W10" s="18" t="str">
        <f t="shared" si="3"/>
        <v>External</v>
      </c>
    </row>
    <row r="11">
      <c r="A11" s="117" t="s">
        <v>521</v>
      </c>
      <c r="B11" s="117" t="s">
        <v>90</v>
      </c>
      <c r="C11" s="117" t="s">
        <v>472</v>
      </c>
      <c r="D11" s="117" t="s">
        <v>522</v>
      </c>
      <c r="E11" s="117" t="s">
        <v>523</v>
      </c>
      <c r="F11" s="117" t="s">
        <v>524</v>
      </c>
      <c r="G11" s="117" t="s">
        <v>132</v>
      </c>
      <c r="H11" s="117"/>
      <c r="I11" s="119" t="s">
        <v>525</v>
      </c>
      <c r="J11" s="117" t="s">
        <v>42</v>
      </c>
      <c r="K11" s="117" t="s">
        <v>30</v>
      </c>
      <c r="L11" s="117" t="s">
        <v>30</v>
      </c>
      <c r="M11" s="117" t="s">
        <v>44</v>
      </c>
      <c r="N11" s="117" t="s">
        <v>45</v>
      </c>
      <c r="O11" s="117" t="s">
        <v>300</v>
      </c>
      <c r="P11" s="117" t="s">
        <v>46</v>
      </c>
      <c r="Q11" s="18" t="s">
        <v>526</v>
      </c>
      <c r="R11" s="18"/>
      <c r="S11" s="18" t="s">
        <v>182</v>
      </c>
      <c r="T11" s="125">
        <v>46138.0</v>
      </c>
      <c r="U11" s="18">
        <f t="shared" si="1"/>
        <v>3</v>
      </c>
      <c r="V11" s="18">
        <f t="shared" si="2"/>
        <v>3</v>
      </c>
      <c r="W11" s="18" t="str">
        <f t="shared" si="3"/>
        <v>Internal</v>
      </c>
    </row>
    <row r="12">
      <c r="A12" s="117" t="s">
        <v>527</v>
      </c>
      <c r="B12" s="117" t="s">
        <v>90</v>
      </c>
      <c r="C12" s="117" t="s">
        <v>472</v>
      </c>
      <c r="D12" s="117" t="s">
        <v>528</v>
      </c>
      <c r="E12" s="117" t="s">
        <v>523</v>
      </c>
      <c r="F12" s="117" t="s">
        <v>529</v>
      </c>
      <c r="G12" s="117" t="s">
        <v>121</v>
      </c>
      <c r="H12" s="117"/>
      <c r="I12" s="119" t="s">
        <v>530</v>
      </c>
      <c r="J12" s="117" t="s">
        <v>42</v>
      </c>
      <c r="K12" s="117" t="s">
        <v>30</v>
      </c>
      <c r="L12" s="117" t="s">
        <v>30</v>
      </c>
      <c r="M12" s="117" t="s">
        <v>45</v>
      </c>
      <c r="N12" s="117" t="s">
        <v>44</v>
      </c>
      <c r="O12" s="117" t="s">
        <v>34</v>
      </c>
      <c r="P12" s="117" t="s">
        <v>46</v>
      </c>
      <c r="Q12" s="18" t="s">
        <v>531</v>
      </c>
      <c r="R12" s="18"/>
      <c r="S12" s="18" t="s">
        <v>182</v>
      </c>
      <c r="T12" s="125">
        <v>46138.0</v>
      </c>
      <c r="U12" s="18">
        <f t="shared" si="1"/>
        <v>3</v>
      </c>
      <c r="V12" s="18">
        <f t="shared" si="2"/>
        <v>3</v>
      </c>
      <c r="W12" s="18" t="str">
        <f t="shared" si="3"/>
        <v>Internal</v>
      </c>
    </row>
    <row r="13">
      <c r="A13" s="117" t="s">
        <v>532</v>
      </c>
      <c r="B13" s="117" t="s">
        <v>90</v>
      </c>
      <c r="C13" s="117" t="s">
        <v>472</v>
      </c>
      <c r="D13" s="117" t="s">
        <v>533</v>
      </c>
      <c r="E13" s="117" t="s">
        <v>523</v>
      </c>
      <c r="F13" s="117" t="s">
        <v>534</v>
      </c>
      <c r="G13" s="117" t="s">
        <v>27</v>
      </c>
      <c r="H13" s="117"/>
      <c r="I13" s="119" t="s">
        <v>535</v>
      </c>
      <c r="J13" s="117" t="s">
        <v>42</v>
      </c>
      <c r="K13" s="117" t="s">
        <v>102</v>
      </c>
      <c r="L13" s="117" t="s">
        <v>103</v>
      </c>
      <c r="M13" s="117" t="s">
        <v>96</v>
      </c>
      <c r="N13" s="117" t="s">
        <v>44</v>
      </c>
      <c r="O13" s="117" t="s">
        <v>34</v>
      </c>
      <c r="P13" s="117" t="s">
        <v>46</v>
      </c>
      <c r="Q13" s="18" t="s">
        <v>536</v>
      </c>
      <c r="R13" s="18"/>
      <c r="S13" s="18" t="s">
        <v>182</v>
      </c>
      <c r="T13" s="125">
        <v>46138.0</v>
      </c>
      <c r="U13" s="18">
        <f t="shared" si="1"/>
        <v>3</v>
      </c>
      <c r="V13" s="18">
        <f t="shared" si="2"/>
        <v>3</v>
      </c>
      <c r="W13" s="18" t="str">
        <f t="shared" si="3"/>
        <v>Internal</v>
      </c>
    </row>
    <row r="14">
      <c r="A14" s="117" t="s">
        <v>537</v>
      </c>
      <c r="B14" s="117" t="s">
        <v>90</v>
      </c>
      <c r="C14" s="117" t="s">
        <v>472</v>
      </c>
      <c r="D14" s="117" t="s">
        <v>523</v>
      </c>
      <c r="E14" s="117" t="s">
        <v>523</v>
      </c>
      <c r="F14" s="117" t="s">
        <v>538</v>
      </c>
      <c r="G14" s="117" t="s">
        <v>94</v>
      </c>
      <c r="H14" s="117"/>
      <c r="I14" s="119" t="s">
        <v>539</v>
      </c>
      <c r="J14" s="117" t="s">
        <v>42</v>
      </c>
      <c r="K14" s="117" t="s">
        <v>30</v>
      </c>
      <c r="L14" s="117" t="s">
        <v>103</v>
      </c>
      <c r="M14" s="117" t="s">
        <v>59</v>
      </c>
      <c r="N14" s="117" t="s">
        <v>44</v>
      </c>
      <c r="O14" s="117" t="s">
        <v>97</v>
      </c>
      <c r="P14" s="117" t="s">
        <v>46</v>
      </c>
      <c r="Q14" s="18" t="s">
        <v>540</v>
      </c>
      <c r="R14" s="18"/>
      <c r="S14" s="18" t="s">
        <v>182</v>
      </c>
      <c r="T14" s="125">
        <v>46138.0</v>
      </c>
      <c r="U14" s="18">
        <f t="shared" si="1"/>
        <v>3</v>
      </c>
      <c r="V14" s="18">
        <f t="shared" si="2"/>
        <v>3</v>
      </c>
      <c r="W14" s="18" t="str">
        <f t="shared" si="3"/>
        <v>Internal</v>
      </c>
    </row>
    <row r="15">
      <c r="A15" s="117" t="s">
        <v>541</v>
      </c>
      <c r="B15" s="117" t="s">
        <v>114</v>
      </c>
      <c r="C15" s="117" t="s">
        <v>472</v>
      </c>
      <c r="D15" s="117" t="s">
        <v>542</v>
      </c>
      <c r="E15" s="117" t="s">
        <v>523</v>
      </c>
      <c r="F15" s="117" t="s">
        <v>543</v>
      </c>
      <c r="G15" s="117" t="s">
        <v>94</v>
      </c>
      <c r="H15" s="117"/>
      <c r="I15" s="119" t="s">
        <v>544</v>
      </c>
      <c r="J15" s="117" t="s">
        <v>57</v>
      </c>
      <c r="K15" s="117" t="s">
        <v>82</v>
      </c>
      <c r="L15" s="117" t="s">
        <v>103</v>
      </c>
      <c r="M15" s="117" t="s">
        <v>96</v>
      </c>
      <c r="N15" s="117" t="s">
        <v>32</v>
      </c>
      <c r="O15" s="117" t="s">
        <v>34</v>
      </c>
      <c r="P15" s="117" t="s">
        <v>503</v>
      </c>
      <c r="Q15" s="18" t="s">
        <v>545</v>
      </c>
      <c r="R15" s="18"/>
      <c r="S15" s="18" t="s">
        <v>182</v>
      </c>
      <c r="T15" s="125">
        <v>46138.0</v>
      </c>
      <c r="U15" s="18">
        <f t="shared" si="1"/>
        <v>4</v>
      </c>
      <c r="V15" s="18">
        <f t="shared" si="2"/>
        <v>1</v>
      </c>
      <c r="W15" s="18" t="str">
        <f t="shared" si="3"/>
        <v>Internal</v>
      </c>
    </row>
    <row r="16">
      <c r="A16" s="117" t="s">
        <v>546</v>
      </c>
      <c r="B16" s="117" t="s">
        <v>90</v>
      </c>
      <c r="C16" s="117" t="s">
        <v>472</v>
      </c>
      <c r="D16" s="117" t="s">
        <v>547</v>
      </c>
      <c r="E16" s="117" t="s">
        <v>523</v>
      </c>
      <c r="F16" s="117" t="s">
        <v>548</v>
      </c>
      <c r="G16" s="117" t="s">
        <v>94</v>
      </c>
      <c r="H16" s="117"/>
      <c r="I16" s="119" t="s">
        <v>549</v>
      </c>
      <c r="J16" s="117" t="s">
        <v>57</v>
      </c>
      <c r="K16" s="117" t="s">
        <v>82</v>
      </c>
      <c r="L16" s="117" t="s">
        <v>103</v>
      </c>
      <c r="M16" s="117" t="s">
        <v>96</v>
      </c>
      <c r="N16" s="117" t="s">
        <v>32</v>
      </c>
      <c r="O16" s="117" t="s">
        <v>34</v>
      </c>
      <c r="P16" s="117" t="s">
        <v>503</v>
      </c>
      <c r="Q16" s="18" t="s">
        <v>550</v>
      </c>
      <c r="R16" s="18"/>
      <c r="S16" s="18" t="s">
        <v>182</v>
      </c>
      <c r="T16" s="125">
        <v>46138.0</v>
      </c>
      <c r="U16" s="18">
        <f t="shared" si="1"/>
        <v>3</v>
      </c>
      <c r="V16" s="18">
        <f t="shared" si="2"/>
        <v>1</v>
      </c>
      <c r="W16" s="18" t="str">
        <f t="shared" si="3"/>
        <v>Internal</v>
      </c>
    </row>
    <row r="17">
      <c r="A17" s="117" t="s">
        <v>551</v>
      </c>
      <c r="B17" s="117" t="s">
        <v>174</v>
      </c>
      <c r="C17" s="117" t="s">
        <v>472</v>
      </c>
      <c r="D17" s="117" t="s">
        <v>523</v>
      </c>
      <c r="E17" s="117" t="s">
        <v>523</v>
      </c>
      <c r="F17" s="117" t="s">
        <v>552</v>
      </c>
      <c r="G17" s="117" t="s">
        <v>177</v>
      </c>
      <c r="H17" s="117"/>
      <c r="I17" s="119" t="s">
        <v>553</v>
      </c>
      <c r="J17" s="117" t="s">
        <v>57</v>
      </c>
      <c r="K17" s="117" t="s">
        <v>30</v>
      </c>
      <c r="L17" s="117" t="s">
        <v>103</v>
      </c>
      <c r="M17" s="117" t="s">
        <v>96</v>
      </c>
      <c r="N17" s="117" t="s">
        <v>45</v>
      </c>
      <c r="O17" s="117" t="s">
        <v>110</v>
      </c>
      <c r="P17" s="117" t="s">
        <v>151</v>
      </c>
      <c r="Q17" s="18" t="s">
        <v>554</v>
      </c>
      <c r="R17" s="18" t="s">
        <v>555</v>
      </c>
      <c r="S17" s="18" t="s">
        <v>182</v>
      </c>
      <c r="T17" s="125">
        <v>46138.0</v>
      </c>
      <c r="U17" s="18">
        <f t="shared" si="1"/>
        <v>5</v>
      </c>
      <c r="V17" s="18">
        <f t="shared" si="2"/>
        <v>1</v>
      </c>
      <c r="W17" s="18" t="str">
        <f t="shared" si="3"/>
        <v>Internal</v>
      </c>
    </row>
    <row r="18">
      <c r="A18" s="117" t="s">
        <v>556</v>
      </c>
      <c r="B18" s="117" t="s">
        <v>114</v>
      </c>
      <c r="C18" s="117" t="s">
        <v>472</v>
      </c>
      <c r="D18" s="117" t="s">
        <v>523</v>
      </c>
      <c r="E18" s="117" t="s">
        <v>523</v>
      </c>
      <c r="F18" s="117" t="s">
        <v>557</v>
      </c>
      <c r="G18" s="117" t="s">
        <v>177</v>
      </c>
      <c r="H18" s="117"/>
      <c r="I18" s="119" t="s">
        <v>558</v>
      </c>
      <c r="J18" s="117" t="s">
        <v>29</v>
      </c>
      <c r="K18" s="117" t="s">
        <v>30</v>
      </c>
      <c r="L18" s="117" t="s">
        <v>30</v>
      </c>
      <c r="M18" s="117" t="s">
        <v>45</v>
      </c>
      <c r="N18" s="117"/>
      <c r="O18" s="117" t="s">
        <v>300</v>
      </c>
      <c r="P18" s="117" t="s">
        <v>151</v>
      </c>
      <c r="Q18" s="18" t="s">
        <v>559</v>
      </c>
      <c r="R18" s="18"/>
      <c r="S18" s="18"/>
      <c r="T18" s="18"/>
      <c r="U18" s="18">
        <f t="shared" si="1"/>
        <v>4</v>
      </c>
      <c r="V18" s="18">
        <f t="shared" si="2"/>
        <v>2</v>
      </c>
      <c r="W18" s="18" t="str">
        <f t="shared" si="3"/>
        <v>Internal</v>
      </c>
    </row>
    <row r="19">
      <c r="A19" s="117" t="s">
        <v>560</v>
      </c>
      <c r="B19" s="117" t="s">
        <v>114</v>
      </c>
      <c r="C19" s="117" t="s">
        <v>472</v>
      </c>
      <c r="D19" s="117" t="s">
        <v>523</v>
      </c>
      <c r="E19" s="117" t="s">
        <v>523</v>
      </c>
      <c r="F19" s="117" t="s">
        <v>561</v>
      </c>
      <c r="G19" s="117" t="s">
        <v>177</v>
      </c>
      <c r="H19" s="117"/>
      <c r="I19" s="119" t="s">
        <v>562</v>
      </c>
      <c r="J19" s="117" t="s">
        <v>42</v>
      </c>
      <c r="K19" s="117" t="s">
        <v>30</v>
      </c>
      <c r="L19" s="117" t="s">
        <v>150</v>
      </c>
      <c r="M19" s="117" t="s">
        <v>45</v>
      </c>
      <c r="N19" s="117"/>
      <c r="O19" s="117" t="s">
        <v>110</v>
      </c>
      <c r="P19" s="117" t="s">
        <v>151</v>
      </c>
      <c r="Q19" s="18" t="s">
        <v>563</v>
      </c>
      <c r="R19" s="18" t="s">
        <v>564</v>
      </c>
      <c r="S19" s="18" t="s">
        <v>182</v>
      </c>
      <c r="T19" s="125">
        <v>46138.0</v>
      </c>
      <c r="U19" s="18">
        <f t="shared" si="1"/>
        <v>4</v>
      </c>
      <c r="V19" s="18">
        <f t="shared" si="2"/>
        <v>3</v>
      </c>
      <c r="W19" s="18" t="str">
        <f t="shared" si="3"/>
        <v>Internal</v>
      </c>
    </row>
    <row r="20">
      <c r="A20" s="117" t="s">
        <v>565</v>
      </c>
      <c r="B20" s="117" t="s">
        <v>114</v>
      </c>
      <c r="C20" s="117" t="s">
        <v>472</v>
      </c>
      <c r="D20" s="117" t="s">
        <v>566</v>
      </c>
      <c r="E20" s="117" t="s">
        <v>523</v>
      </c>
      <c r="F20" s="117" t="s">
        <v>567</v>
      </c>
      <c r="G20" s="117" t="s">
        <v>94</v>
      </c>
      <c r="H20" s="117"/>
      <c r="I20" s="119" t="s">
        <v>568</v>
      </c>
      <c r="J20" s="117" t="s">
        <v>29</v>
      </c>
      <c r="K20" s="117" t="s">
        <v>30</v>
      </c>
      <c r="L20" s="117" t="s">
        <v>150</v>
      </c>
      <c r="M20" s="117" t="s">
        <v>96</v>
      </c>
      <c r="N20" s="117"/>
      <c r="O20" s="117" t="s">
        <v>97</v>
      </c>
      <c r="P20" s="117" t="s">
        <v>46</v>
      </c>
      <c r="Q20" s="18" t="s">
        <v>569</v>
      </c>
      <c r="R20" s="18" t="s">
        <v>570</v>
      </c>
      <c r="S20" s="18" t="s">
        <v>182</v>
      </c>
      <c r="T20" s="125">
        <v>46138.0</v>
      </c>
      <c r="U20" s="18">
        <f t="shared" si="1"/>
        <v>4</v>
      </c>
      <c r="V20" s="18">
        <f t="shared" si="2"/>
        <v>2</v>
      </c>
      <c r="W20" s="18" t="str">
        <f t="shared" si="3"/>
        <v>Internal</v>
      </c>
    </row>
    <row r="21">
      <c r="A21" s="117" t="s">
        <v>571</v>
      </c>
      <c r="B21" s="117" t="s">
        <v>90</v>
      </c>
      <c r="C21" s="117" t="s">
        <v>472</v>
      </c>
      <c r="D21" s="117" t="s">
        <v>522</v>
      </c>
      <c r="E21" s="117" t="s">
        <v>523</v>
      </c>
      <c r="F21" s="117" t="s">
        <v>572</v>
      </c>
      <c r="G21" s="117" t="s">
        <v>132</v>
      </c>
      <c r="H21" s="117"/>
      <c r="I21" s="119" t="s">
        <v>573</v>
      </c>
      <c r="J21" s="117" t="s">
        <v>42</v>
      </c>
      <c r="K21" s="117" t="s">
        <v>30</v>
      </c>
      <c r="L21" s="117" t="s">
        <v>30</v>
      </c>
      <c r="M21" s="117" t="s">
        <v>44</v>
      </c>
      <c r="N21" s="117"/>
      <c r="O21" s="117" t="s">
        <v>300</v>
      </c>
      <c r="P21" s="117" t="s">
        <v>46</v>
      </c>
      <c r="Q21" s="18" t="s">
        <v>574</v>
      </c>
      <c r="R21" s="18" t="s">
        <v>575</v>
      </c>
      <c r="S21" s="18" t="s">
        <v>182</v>
      </c>
      <c r="T21" s="125">
        <v>46138.0</v>
      </c>
      <c r="U21" s="18">
        <f t="shared" si="1"/>
        <v>3</v>
      </c>
      <c r="V21" s="18">
        <f t="shared" si="2"/>
        <v>3</v>
      </c>
      <c r="W21" s="18" t="str">
        <f t="shared" si="3"/>
        <v>Internal</v>
      </c>
    </row>
    <row r="22">
      <c r="A22" s="117" t="s">
        <v>576</v>
      </c>
      <c r="B22" s="117" t="s">
        <v>90</v>
      </c>
      <c r="C22" s="117" t="s">
        <v>472</v>
      </c>
      <c r="D22" s="117" t="s">
        <v>577</v>
      </c>
      <c r="E22" s="117" t="s">
        <v>578</v>
      </c>
      <c r="F22" s="117" t="s">
        <v>579</v>
      </c>
      <c r="G22" s="117" t="s">
        <v>71</v>
      </c>
      <c r="H22" s="135"/>
      <c r="I22" s="119" t="s">
        <v>580</v>
      </c>
      <c r="J22" s="117" t="s">
        <v>42</v>
      </c>
      <c r="K22" s="117" t="s">
        <v>102</v>
      </c>
      <c r="L22" s="117" t="s">
        <v>103</v>
      </c>
      <c r="M22" s="117" t="s">
        <v>45</v>
      </c>
      <c r="N22" s="117"/>
      <c r="O22" s="117" t="s">
        <v>34</v>
      </c>
      <c r="P22" s="117" t="s">
        <v>46</v>
      </c>
      <c r="Q22" s="18" t="s">
        <v>581</v>
      </c>
      <c r="R22" s="18"/>
      <c r="S22" s="18" t="s">
        <v>182</v>
      </c>
      <c r="T22" s="125">
        <v>46138.0</v>
      </c>
      <c r="U22" s="18">
        <f t="shared" si="1"/>
        <v>3</v>
      </c>
      <c r="V22" s="18">
        <f t="shared" si="2"/>
        <v>3</v>
      </c>
      <c r="W22" s="18" t="str">
        <f t="shared" si="3"/>
        <v>Internal</v>
      </c>
    </row>
    <row r="23">
      <c r="A23" s="117" t="s">
        <v>582</v>
      </c>
      <c r="B23" s="117" t="s">
        <v>90</v>
      </c>
      <c r="C23" s="117" t="s">
        <v>472</v>
      </c>
      <c r="D23" s="117" t="s">
        <v>583</v>
      </c>
      <c r="E23" s="117" t="s">
        <v>578</v>
      </c>
      <c r="F23" s="117" t="s">
        <v>584</v>
      </c>
      <c r="G23" s="117" t="s">
        <v>132</v>
      </c>
      <c r="H23" s="135"/>
      <c r="I23" s="119" t="s">
        <v>585</v>
      </c>
      <c r="J23" s="117" t="s">
        <v>42</v>
      </c>
      <c r="K23" s="117" t="s">
        <v>30</v>
      </c>
      <c r="L23" s="117" t="s">
        <v>30</v>
      </c>
      <c r="M23" s="117" t="s">
        <v>44</v>
      </c>
      <c r="N23" s="117"/>
      <c r="O23" s="117" t="s">
        <v>300</v>
      </c>
      <c r="P23" s="117" t="s">
        <v>46</v>
      </c>
      <c r="Q23" s="18" t="s">
        <v>586</v>
      </c>
      <c r="R23" s="18" t="s">
        <v>587</v>
      </c>
      <c r="S23" s="18" t="s">
        <v>182</v>
      </c>
      <c r="T23" s="125">
        <v>46138.0</v>
      </c>
      <c r="U23" s="18">
        <f t="shared" si="1"/>
        <v>3</v>
      </c>
      <c r="V23" s="18">
        <f t="shared" si="2"/>
        <v>3</v>
      </c>
      <c r="W23" s="18" t="str">
        <f t="shared" si="3"/>
        <v>Internal</v>
      </c>
    </row>
    <row r="24">
      <c r="A24" s="117" t="s">
        <v>588</v>
      </c>
      <c r="B24" s="117" t="s">
        <v>90</v>
      </c>
      <c r="C24" s="117" t="s">
        <v>472</v>
      </c>
      <c r="D24" s="117" t="s">
        <v>577</v>
      </c>
      <c r="E24" s="117" t="s">
        <v>578</v>
      </c>
      <c r="F24" s="117" t="s">
        <v>589</v>
      </c>
      <c r="G24" s="117" t="s">
        <v>94</v>
      </c>
      <c r="H24" s="135">
        <v>45566.0</v>
      </c>
      <c r="I24" s="119" t="s">
        <v>590</v>
      </c>
      <c r="J24" s="117" t="s">
        <v>42</v>
      </c>
      <c r="K24" s="117" t="s">
        <v>82</v>
      </c>
      <c r="L24" s="117" t="s">
        <v>150</v>
      </c>
      <c r="M24" s="117" t="s">
        <v>96</v>
      </c>
      <c r="N24" s="117" t="s">
        <v>44</v>
      </c>
      <c r="O24" s="117" t="s">
        <v>97</v>
      </c>
      <c r="P24" s="117" t="s">
        <v>46</v>
      </c>
      <c r="Q24" s="18" t="s">
        <v>591</v>
      </c>
      <c r="R24" s="18"/>
      <c r="S24" s="18" t="s">
        <v>182</v>
      </c>
      <c r="T24" s="129">
        <v>46137.0</v>
      </c>
      <c r="U24" s="18">
        <f t="shared" si="1"/>
        <v>3</v>
      </c>
      <c r="V24" s="18">
        <f t="shared" si="2"/>
        <v>3</v>
      </c>
      <c r="W24" s="18" t="str">
        <f t="shared" si="3"/>
        <v>Internal</v>
      </c>
    </row>
    <row r="25">
      <c r="A25" s="117" t="s">
        <v>592</v>
      </c>
      <c r="B25" s="117" t="s">
        <v>90</v>
      </c>
      <c r="C25" s="117" t="s">
        <v>472</v>
      </c>
      <c r="D25" s="117" t="s">
        <v>593</v>
      </c>
      <c r="E25" s="117" t="s">
        <v>578</v>
      </c>
      <c r="F25" s="117" t="s">
        <v>594</v>
      </c>
      <c r="G25" s="117" t="s">
        <v>27</v>
      </c>
      <c r="H25" s="135">
        <v>45513.0</v>
      </c>
      <c r="I25" s="119" t="s">
        <v>595</v>
      </c>
      <c r="J25" s="117" t="s">
        <v>57</v>
      </c>
      <c r="K25" s="117" t="s">
        <v>82</v>
      </c>
      <c r="L25" s="117" t="s">
        <v>103</v>
      </c>
      <c r="M25" s="117" t="s">
        <v>96</v>
      </c>
      <c r="N25" s="117" t="s">
        <v>59</v>
      </c>
      <c r="O25" s="117" t="s">
        <v>97</v>
      </c>
      <c r="P25" s="117" t="s">
        <v>46</v>
      </c>
      <c r="Q25" s="18" t="s">
        <v>596</v>
      </c>
      <c r="R25" s="18" t="s">
        <v>597</v>
      </c>
      <c r="S25" s="18" t="s">
        <v>182</v>
      </c>
      <c r="T25" s="129">
        <v>46137.0</v>
      </c>
      <c r="U25" s="18">
        <f t="shared" si="1"/>
        <v>3</v>
      </c>
      <c r="V25" s="18">
        <f t="shared" si="2"/>
        <v>1</v>
      </c>
      <c r="W25" s="18" t="str">
        <f t="shared" si="3"/>
        <v>Internal</v>
      </c>
    </row>
    <row r="26">
      <c r="A26" s="117" t="s">
        <v>598</v>
      </c>
      <c r="B26" s="117" t="s">
        <v>114</v>
      </c>
      <c r="C26" s="117" t="s">
        <v>472</v>
      </c>
      <c r="D26" s="117" t="s">
        <v>599</v>
      </c>
      <c r="E26" s="117" t="s">
        <v>578</v>
      </c>
      <c r="F26" s="117" t="s">
        <v>600</v>
      </c>
      <c r="G26" s="117" t="s">
        <v>94</v>
      </c>
      <c r="H26" s="135">
        <v>45673.0</v>
      </c>
      <c r="I26" s="119" t="s">
        <v>601</v>
      </c>
      <c r="J26" s="117" t="s">
        <v>57</v>
      </c>
      <c r="K26" s="117" t="s">
        <v>82</v>
      </c>
      <c r="L26" s="117" t="s">
        <v>43</v>
      </c>
      <c r="M26" s="117" t="s">
        <v>96</v>
      </c>
      <c r="N26" s="117"/>
      <c r="O26" s="117" t="s">
        <v>110</v>
      </c>
      <c r="P26" s="117" t="s">
        <v>46</v>
      </c>
      <c r="Q26" s="18" t="s">
        <v>602</v>
      </c>
      <c r="R26" s="18" t="s">
        <v>603</v>
      </c>
      <c r="S26" s="18" t="s">
        <v>182</v>
      </c>
      <c r="T26" s="125">
        <v>46137.0</v>
      </c>
      <c r="U26" s="18">
        <f t="shared" si="1"/>
        <v>4</v>
      </c>
      <c r="V26" s="18">
        <f t="shared" si="2"/>
        <v>1</v>
      </c>
      <c r="W26" s="18" t="str">
        <f t="shared" si="3"/>
        <v>Internal</v>
      </c>
    </row>
    <row r="27">
      <c r="A27" s="117" t="s">
        <v>604</v>
      </c>
      <c r="B27" s="117" t="s">
        <v>174</v>
      </c>
      <c r="C27" s="117" t="s">
        <v>472</v>
      </c>
      <c r="D27" s="117" t="s">
        <v>605</v>
      </c>
      <c r="E27" s="117" t="s">
        <v>578</v>
      </c>
      <c r="F27" s="117" t="s">
        <v>606</v>
      </c>
      <c r="G27" s="117" t="s">
        <v>177</v>
      </c>
      <c r="H27" s="117"/>
      <c r="I27" s="119" t="s">
        <v>607</v>
      </c>
      <c r="J27" s="117" t="s">
        <v>29</v>
      </c>
      <c r="K27" s="117" t="s">
        <v>30</v>
      </c>
      <c r="L27" s="117" t="s">
        <v>150</v>
      </c>
      <c r="M27" s="117" t="s">
        <v>96</v>
      </c>
      <c r="N27" s="117"/>
      <c r="O27" s="117" t="s">
        <v>97</v>
      </c>
      <c r="P27" s="117" t="s">
        <v>151</v>
      </c>
      <c r="Q27" s="18" t="s">
        <v>608</v>
      </c>
      <c r="R27" s="18" t="s">
        <v>609</v>
      </c>
      <c r="S27" s="18" t="s">
        <v>182</v>
      </c>
      <c r="T27" s="125">
        <v>46137.0</v>
      </c>
      <c r="U27" s="18">
        <f t="shared" si="1"/>
        <v>5</v>
      </c>
      <c r="V27" s="18">
        <f t="shared" si="2"/>
        <v>2</v>
      </c>
      <c r="W27" s="18" t="str">
        <f t="shared" si="3"/>
        <v>Internal</v>
      </c>
    </row>
    <row r="28">
      <c r="A28" s="117" t="s">
        <v>610</v>
      </c>
      <c r="B28" s="117" t="s">
        <v>174</v>
      </c>
      <c r="C28" s="117" t="s">
        <v>472</v>
      </c>
      <c r="D28" s="117" t="s">
        <v>605</v>
      </c>
      <c r="E28" s="117" t="s">
        <v>578</v>
      </c>
      <c r="F28" s="117" t="s">
        <v>611</v>
      </c>
      <c r="G28" s="117" t="s">
        <v>177</v>
      </c>
      <c r="H28" s="117"/>
      <c r="I28" s="119" t="s">
        <v>612</v>
      </c>
      <c r="J28" s="117" t="s">
        <v>29</v>
      </c>
      <c r="K28" s="117" t="s">
        <v>30</v>
      </c>
      <c r="L28" s="117" t="s">
        <v>150</v>
      </c>
      <c r="M28" s="117" t="s">
        <v>96</v>
      </c>
      <c r="N28" s="117"/>
      <c r="O28" s="117" t="s">
        <v>97</v>
      </c>
      <c r="P28" s="117" t="s">
        <v>151</v>
      </c>
      <c r="Q28" s="18" t="s">
        <v>608</v>
      </c>
      <c r="R28" s="18" t="s">
        <v>609</v>
      </c>
      <c r="S28" s="18" t="s">
        <v>182</v>
      </c>
      <c r="T28" s="125">
        <v>46137.0</v>
      </c>
      <c r="U28" s="18">
        <f t="shared" si="1"/>
        <v>5</v>
      </c>
      <c r="V28" s="18">
        <f t="shared" si="2"/>
        <v>2</v>
      </c>
      <c r="W28" s="18" t="str">
        <f t="shared" si="3"/>
        <v>Internal</v>
      </c>
    </row>
    <row r="29">
      <c r="A29" s="117" t="s">
        <v>613</v>
      </c>
      <c r="B29" s="117" t="s">
        <v>174</v>
      </c>
      <c r="C29" s="117" t="s">
        <v>472</v>
      </c>
      <c r="D29" s="117" t="s">
        <v>614</v>
      </c>
      <c r="E29" s="117" t="s">
        <v>578</v>
      </c>
      <c r="F29" s="117" t="s">
        <v>615</v>
      </c>
      <c r="G29" s="117" t="s">
        <v>177</v>
      </c>
      <c r="H29" s="117"/>
      <c r="I29" s="119" t="s">
        <v>616</v>
      </c>
      <c r="J29" s="117" t="s">
        <v>29</v>
      </c>
      <c r="K29" s="117" t="s">
        <v>30</v>
      </c>
      <c r="L29" s="117" t="s">
        <v>150</v>
      </c>
      <c r="M29" s="117" t="s">
        <v>96</v>
      </c>
      <c r="N29" s="117"/>
      <c r="O29" s="117" t="s">
        <v>97</v>
      </c>
      <c r="P29" s="117" t="s">
        <v>151</v>
      </c>
      <c r="Q29" s="18" t="s">
        <v>617</v>
      </c>
      <c r="R29" s="18" t="s">
        <v>618</v>
      </c>
      <c r="S29" s="18" t="s">
        <v>182</v>
      </c>
      <c r="T29" s="125">
        <v>46137.0</v>
      </c>
      <c r="U29" s="18">
        <f t="shared" si="1"/>
        <v>5</v>
      </c>
      <c r="V29" s="18">
        <f t="shared" si="2"/>
        <v>2</v>
      </c>
      <c r="W29" s="18" t="str">
        <f t="shared" si="3"/>
        <v>Internal</v>
      </c>
    </row>
    <row r="30">
      <c r="A30" s="117" t="s">
        <v>619</v>
      </c>
      <c r="B30" s="117" t="s">
        <v>90</v>
      </c>
      <c r="C30" s="117" t="s">
        <v>472</v>
      </c>
      <c r="D30" s="117" t="s">
        <v>620</v>
      </c>
      <c r="E30" s="117" t="s">
        <v>578</v>
      </c>
      <c r="F30" s="117" t="s">
        <v>621</v>
      </c>
      <c r="G30" s="117" t="s">
        <v>94</v>
      </c>
      <c r="H30" s="117"/>
      <c r="I30" s="119" t="s">
        <v>622</v>
      </c>
      <c r="J30" s="117" t="s">
        <v>42</v>
      </c>
      <c r="K30" s="117" t="s">
        <v>30</v>
      </c>
      <c r="L30" s="117" t="s">
        <v>150</v>
      </c>
      <c r="M30" s="117" t="s">
        <v>45</v>
      </c>
      <c r="N30" s="117"/>
      <c r="O30" s="117" t="s">
        <v>110</v>
      </c>
      <c r="P30" s="117" t="s">
        <v>151</v>
      </c>
      <c r="Q30" s="18" t="s">
        <v>623</v>
      </c>
      <c r="R30" s="18" t="s">
        <v>624</v>
      </c>
      <c r="S30" s="18" t="s">
        <v>182</v>
      </c>
      <c r="T30" s="125">
        <v>46138.0</v>
      </c>
      <c r="U30" s="18">
        <f t="shared" si="1"/>
        <v>3</v>
      </c>
      <c r="V30" s="18">
        <f t="shared" si="2"/>
        <v>3</v>
      </c>
      <c r="W30" s="18" t="str">
        <f t="shared" si="3"/>
        <v>Internal</v>
      </c>
    </row>
    <row r="31">
      <c r="A31" s="117" t="s">
        <v>625</v>
      </c>
      <c r="B31" s="117" t="s">
        <v>90</v>
      </c>
      <c r="C31" s="117" t="s">
        <v>472</v>
      </c>
      <c r="D31" s="117" t="s">
        <v>626</v>
      </c>
      <c r="E31" s="117" t="s">
        <v>627</v>
      </c>
      <c r="F31" s="117" t="s">
        <v>628</v>
      </c>
      <c r="G31" s="117" t="s">
        <v>132</v>
      </c>
      <c r="H31" s="135"/>
      <c r="I31" s="119" t="s">
        <v>629</v>
      </c>
      <c r="J31" s="117" t="s">
        <v>29</v>
      </c>
      <c r="K31" s="117" t="s">
        <v>30</v>
      </c>
      <c r="L31" s="117" t="s">
        <v>30</v>
      </c>
      <c r="M31" s="117" t="s">
        <v>44</v>
      </c>
      <c r="N31" s="117"/>
      <c r="O31" s="117" t="s">
        <v>300</v>
      </c>
      <c r="P31" s="117" t="s">
        <v>46</v>
      </c>
      <c r="Q31" s="18" t="s">
        <v>630</v>
      </c>
      <c r="R31" s="18"/>
      <c r="S31" s="18" t="s">
        <v>182</v>
      </c>
      <c r="T31" s="125">
        <v>46138.0</v>
      </c>
      <c r="U31" s="18">
        <f t="shared" si="1"/>
        <v>3</v>
      </c>
      <c r="V31" s="18">
        <f t="shared" si="2"/>
        <v>2</v>
      </c>
      <c r="W31" s="18" t="str">
        <f t="shared" si="3"/>
        <v>Internal</v>
      </c>
    </row>
    <row r="32">
      <c r="A32" s="117" t="s">
        <v>631</v>
      </c>
      <c r="B32" s="117" t="s">
        <v>90</v>
      </c>
      <c r="C32" s="117" t="s">
        <v>472</v>
      </c>
      <c r="D32" s="117" t="s">
        <v>632</v>
      </c>
      <c r="E32" s="117" t="s">
        <v>627</v>
      </c>
      <c r="F32" s="117" t="s">
        <v>633</v>
      </c>
      <c r="G32" s="117" t="s">
        <v>94</v>
      </c>
      <c r="H32" s="135">
        <v>46027.0</v>
      </c>
      <c r="I32" s="119" t="s">
        <v>634</v>
      </c>
      <c r="J32" s="117" t="s">
        <v>29</v>
      </c>
      <c r="K32" s="117" t="s">
        <v>82</v>
      </c>
      <c r="L32" s="117" t="s">
        <v>103</v>
      </c>
      <c r="M32" s="117" t="s">
        <v>96</v>
      </c>
      <c r="N32" s="117"/>
      <c r="O32" s="117" t="s">
        <v>97</v>
      </c>
      <c r="P32" s="117" t="s">
        <v>46</v>
      </c>
      <c r="Q32" s="18" t="s">
        <v>635</v>
      </c>
      <c r="R32" s="18"/>
      <c r="S32" s="18" t="s">
        <v>182</v>
      </c>
      <c r="T32" s="125">
        <v>46137.0</v>
      </c>
      <c r="U32" s="18">
        <f t="shared" si="1"/>
        <v>3</v>
      </c>
      <c r="V32" s="18">
        <f t="shared" si="2"/>
        <v>2</v>
      </c>
      <c r="W32" s="18" t="str">
        <f t="shared" si="3"/>
        <v>Internal</v>
      </c>
    </row>
    <row r="33">
      <c r="A33" s="117" t="s">
        <v>636</v>
      </c>
      <c r="B33" s="117" t="s">
        <v>114</v>
      </c>
      <c r="C33" s="117" t="s">
        <v>472</v>
      </c>
      <c r="D33" s="117" t="s">
        <v>637</v>
      </c>
      <c r="E33" s="117" t="s">
        <v>627</v>
      </c>
      <c r="F33" s="117" t="s">
        <v>638</v>
      </c>
      <c r="G33" s="117" t="s">
        <v>27</v>
      </c>
      <c r="H33" s="135">
        <v>45901.0</v>
      </c>
      <c r="I33" s="119" t="s">
        <v>639</v>
      </c>
      <c r="J33" s="117" t="s">
        <v>29</v>
      </c>
      <c r="K33" s="117" t="s">
        <v>82</v>
      </c>
      <c r="L33" s="117" t="s">
        <v>103</v>
      </c>
      <c r="M33" s="117" t="s">
        <v>96</v>
      </c>
      <c r="N33" s="117" t="s">
        <v>45</v>
      </c>
      <c r="O33" s="117" t="s">
        <v>97</v>
      </c>
      <c r="P33" s="117" t="s">
        <v>503</v>
      </c>
      <c r="Q33" s="18" t="s">
        <v>640</v>
      </c>
      <c r="R33" s="18"/>
      <c r="S33" s="18" t="s">
        <v>182</v>
      </c>
      <c r="T33" s="125">
        <v>46137.0</v>
      </c>
      <c r="U33" s="18">
        <f t="shared" si="1"/>
        <v>4</v>
      </c>
      <c r="V33" s="18">
        <f t="shared" si="2"/>
        <v>2</v>
      </c>
      <c r="W33" s="18" t="str">
        <f t="shared" si="3"/>
        <v>Internal</v>
      </c>
    </row>
    <row r="34">
      <c r="A34" s="117" t="s">
        <v>641</v>
      </c>
      <c r="B34" s="117" t="s">
        <v>114</v>
      </c>
      <c r="C34" s="117" t="s">
        <v>472</v>
      </c>
      <c r="D34" s="117" t="s">
        <v>642</v>
      </c>
      <c r="E34" s="117" t="s">
        <v>627</v>
      </c>
      <c r="F34" s="117" t="s">
        <v>643</v>
      </c>
      <c r="G34" s="117" t="s">
        <v>27</v>
      </c>
      <c r="H34" s="135">
        <v>46021.0</v>
      </c>
      <c r="I34" s="119" t="s">
        <v>644</v>
      </c>
      <c r="J34" s="117" t="s">
        <v>42</v>
      </c>
      <c r="K34" s="117" t="s">
        <v>82</v>
      </c>
      <c r="L34" s="117" t="s">
        <v>150</v>
      </c>
      <c r="M34" s="117" t="s">
        <v>44</v>
      </c>
      <c r="N34" s="117"/>
      <c r="O34" s="117" t="s">
        <v>34</v>
      </c>
      <c r="P34" s="117" t="s">
        <v>151</v>
      </c>
      <c r="Q34" s="18" t="s">
        <v>645</v>
      </c>
      <c r="R34" s="18" t="s">
        <v>646</v>
      </c>
      <c r="S34" s="18" t="s">
        <v>182</v>
      </c>
      <c r="T34" s="125">
        <v>46137.0</v>
      </c>
      <c r="U34" s="18">
        <f t="shared" si="1"/>
        <v>4</v>
      </c>
      <c r="V34" s="18">
        <f t="shared" si="2"/>
        <v>3</v>
      </c>
      <c r="W34" s="18" t="str">
        <f t="shared" si="3"/>
        <v>Internal</v>
      </c>
    </row>
    <row r="35">
      <c r="A35" s="117" t="s">
        <v>647</v>
      </c>
      <c r="B35" s="117" t="s">
        <v>90</v>
      </c>
      <c r="C35" s="117" t="s">
        <v>472</v>
      </c>
      <c r="D35" s="117" t="s">
        <v>648</v>
      </c>
      <c r="E35" s="117" t="s">
        <v>627</v>
      </c>
      <c r="F35" s="117" t="s">
        <v>649</v>
      </c>
      <c r="G35" s="117" t="s">
        <v>121</v>
      </c>
      <c r="H35" s="135">
        <v>46128.0</v>
      </c>
      <c r="I35" s="119" t="s">
        <v>650</v>
      </c>
      <c r="J35" s="117" t="s">
        <v>29</v>
      </c>
      <c r="K35" s="117" t="s">
        <v>82</v>
      </c>
      <c r="L35" s="117" t="s">
        <v>103</v>
      </c>
      <c r="M35" s="117" t="s">
        <v>96</v>
      </c>
      <c r="N35" s="117"/>
      <c r="O35" s="117" t="s">
        <v>34</v>
      </c>
      <c r="P35" s="117" t="s">
        <v>151</v>
      </c>
      <c r="Q35" s="18" t="s">
        <v>651</v>
      </c>
      <c r="R35" s="18" t="s">
        <v>652</v>
      </c>
      <c r="S35" s="18" t="s">
        <v>182</v>
      </c>
      <c r="T35" s="125">
        <v>46137.0</v>
      </c>
      <c r="U35" s="18">
        <f t="shared" si="1"/>
        <v>3</v>
      </c>
      <c r="V35" s="18">
        <f t="shared" si="2"/>
        <v>2</v>
      </c>
      <c r="W35" s="18" t="str">
        <f t="shared" si="3"/>
        <v>Internal</v>
      </c>
    </row>
    <row r="36">
      <c r="A36" s="117" t="s">
        <v>653</v>
      </c>
      <c r="B36" s="117" t="s">
        <v>90</v>
      </c>
      <c r="C36" s="117" t="s">
        <v>472</v>
      </c>
      <c r="D36" s="117" t="s">
        <v>654</v>
      </c>
      <c r="E36" s="117" t="s">
        <v>627</v>
      </c>
      <c r="F36" s="117" t="s">
        <v>655</v>
      </c>
      <c r="G36" s="117" t="s">
        <v>132</v>
      </c>
      <c r="H36" s="135"/>
      <c r="I36" s="119" t="s">
        <v>656</v>
      </c>
      <c r="J36" s="117" t="s">
        <v>42</v>
      </c>
      <c r="K36" s="117" t="s">
        <v>30</v>
      </c>
      <c r="L36" s="117" t="s">
        <v>30</v>
      </c>
      <c r="M36" s="117" t="s">
        <v>44</v>
      </c>
      <c r="N36" s="117" t="s">
        <v>45</v>
      </c>
      <c r="O36" s="117" t="s">
        <v>34</v>
      </c>
      <c r="P36" s="117" t="s">
        <v>46</v>
      </c>
      <c r="Q36" s="18" t="s">
        <v>657</v>
      </c>
      <c r="R36" s="18"/>
      <c r="S36" s="18"/>
      <c r="T36" s="125"/>
      <c r="U36" s="18">
        <f t="shared" si="1"/>
        <v>3</v>
      </c>
      <c r="V36" s="18">
        <f t="shared" si="2"/>
        <v>3</v>
      </c>
      <c r="W36" s="18" t="str">
        <f t="shared" si="3"/>
        <v>Internal</v>
      </c>
    </row>
    <row r="37">
      <c r="A37" s="117" t="s">
        <v>658</v>
      </c>
      <c r="B37" s="117" t="s">
        <v>174</v>
      </c>
      <c r="C37" s="117" t="s">
        <v>472</v>
      </c>
      <c r="D37" s="117" t="s">
        <v>627</v>
      </c>
      <c r="E37" s="117" t="s">
        <v>627</v>
      </c>
      <c r="F37" s="117" t="s">
        <v>659</v>
      </c>
      <c r="G37" s="117" t="s">
        <v>177</v>
      </c>
      <c r="H37" s="135">
        <v>45566.0</v>
      </c>
      <c r="I37" s="119" t="s">
        <v>660</v>
      </c>
      <c r="J37" s="117" t="s">
        <v>29</v>
      </c>
      <c r="K37" s="117" t="s">
        <v>30</v>
      </c>
      <c r="L37" s="117" t="s">
        <v>30</v>
      </c>
      <c r="M37" s="117" t="s">
        <v>44</v>
      </c>
      <c r="N37" s="117"/>
      <c r="O37" s="117" t="s">
        <v>300</v>
      </c>
      <c r="P37" s="117" t="s">
        <v>151</v>
      </c>
      <c r="Q37" s="18" t="s">
        <v>661</v>
      </c>
      <c r="R37" s="18" t="s">
        <v>662</v>
      </c>
      <c r="S37" s="18" t="s">
        <v>182</v>
      </c>
      <c r="T37" s="125">
        <v>46137.0</v>
      </c>
      <c r="U37" s="18">
        <f t="shared" si="1"/>
        <v>5</v>
      </c>
      <c r="V37" s="18">
        <f t="shared" si="2"/>
        <v>2</v>
      </c>
      <c r="W37" s="18" t="str">
        <f t="shared" si="3"/>
        <v>Internal</v>
      </c>
    </row>
    <row r="38">
      <c r="A38" s="117" t="s">
        <v>663</v>
      </c>
      <c r="B38" s="117" t="s">
        <v>174</v>
      </c>
      <c r="C38" s="117" t="s">
        <v>472</v>
      </c>
      <c r="D38" s="117" t="s">
        <v>627</v>
      </c>
      <c r="E38" s="117" t="s">
        <v>627</v>
      </c>
      <c r="F38" s="117" t="s">
        <v>664</v>
      </c>
      <c r="G38" s="117" t="s">
        <v>71</v>
      </c>
      <c r="H38" s="117"/>
      <c r="I38" s="119" t="s">
        <v>665</v>
      </c>
      <c r="J38" s="117" t="s">
        <v>29</v>
      </c>
      <c r="K38" s="117" t="s">
        <v>82</v>
      </c>
      <c r="L38" s="117" t="s">
        <v>103</v>
      </c>
      <c r="M38" s="117" t="s">
        <v>44</v>
      </c>
      <c r="N38" s="117" t="s">
        <v>32</v>
      </c>
      <c r="O38" s="117" t="s">
        <v>97</v>
      </c>
      <c r="P38" s="117" t="s">
        <v>46</v>
      </c>
      <c r="Q38" s="18" t="s">
        <v>666</v>
      </c>
      <c r="R38" s="18" t="s">
        <v>667</v>
      </c>
      <c r="S38" s="18" t="s">
        <v>182</v>
      </c>
      <c r="T38" s="125">
        <v>46137.0</v>
      </c>
      <c r="U38" s="18">
        <f t="shared" si="1"/>
        <v>5</v>
      </c>
      <c r="V38" s="18">
        <f t="shared" si="2"/>
        <v>2</v>
      </c>
      <c r="W38" s="18" t="str">
        <f t="shared" si="3"/>
        <v>Internal</v>
      </c>
    </row>
    <row r="39">
      <c r="A39" s="117" t="s">
        <v>668</v>
      </c>
      <c r="B39" s="117" t="s">
        <v>114</v>
      </c>
      <c r="C39" s="117" t="s">
        <v>472</v>
      </c>
      <c r="D39" s="117" t="s">
        <v>669</v>
      </c>
      <c r="E39" s="117" t="s">
        <v>627</v>
      </c>
      <c r="F39" s="117" t="s">
        <v>670</v>
      </c>
      <c r="G39" s="117" t="s">
        <v>94</v>
      </c>
      <c r="H39" s="135">
        <v>46054.0</v>
      </c>
      <c r="I39" s="119" t="s">
        <v>671</v>
      </c>
      <c r="J39" s="117" t="s">
        <v>57</v>
      </c>
      <c r="K39" s="117" t="s">
        <v>82</v>
      </c>
      <c r="L39" s="117" t="s">
        <v>150</v>
      </c>
      <c r="M39" s="117" t="s">
        <v>96</v>
      </c>
      <c r="N39" s="117"/>
      <c r="O39" s="117" t="s">
        <v>110</v>
      </c>
      <c r="P39" s="117" t="s">
        <v>151</v>
      </c>
      <c r="Q39" s="18" t="s">
        <v>672</v>
      </c>
      <c r="R39" s="18" t="s">
        <v>673</v>
      </c>
      <c r="S39" s="18" t="s">
        <v>182</v>
      </c>
      <c r="T39" s="125">
        <v>46138.0</v>
      </c>
      <c r="U39" s="18">
        <f t="shared" si="1"/>
        <v>4</v>
      </c>
      <c r="V39" s="18">
        <f t="shared" si="2"/>
        <v>1</v>
      </c>
      <c r="W39" s="18" t="str">
        <f t="shared" si="3"/>
        <v>Internal</v>
      </c>
    </row>
    <row r="40">
      <c r="A40" s="117" t="s">
        <v>674</v>
      </c>
      <c r="B40" s="117" t="s">
        <v>90</v>
      </c>
      <c r="C40" s="117" t="s">
        <v>472</v>
      </c>
      <c r="D40" s="117" t="s">
        <v>627</v>
      </c>
      <c r="E40" s="117" t="s">
        <v>627</v>
      </c>
      <c r="F40" s="117" t="s">
        <v>675</v>
      </c>
      <c r="G40" s="117" t="s">
        <v>94</v>
      </c>
      <c r="H40" s="117"/>
      <c r="I40" s="119" t="s">
        <v>676</v>
      </c>
      <c r="J40" s="117" t="s">
        <v>42</v>
      </c>
      <c r="K40" s="117" t="s">
        <v>30</v>
      </c>
      <c r="L40" s="117" t="s">
        <v>150</v>
      </c>
      <c r="M40" s="117" t="s">
        <v>45</v>
      </c>
      <c r="N40" s="117"/>
      <c r="O40" s="117" t="s">
        <v>110</v>
      </c>
      <c r="P40" s="117" t="s">
        <v>151</v>
      </c>
      <c r="Q40" s="18" t="s">
        <v>677</v>
      </c>
      <c r="R40" s="18" t="s">
        <v>624</v>
      </c>
      <c r="S40" s="18"/>
      <c r="T40" s="18"/>
      <c r="U40" s="18">
        <f t="shared" si="1"/>
        <v>3</v>
      </c>
      <c r="V40" s="18">
        <f t="shared" si="2"/>
        <v>3</v>
      </c>
      <c r="W40" s="18" t="str">
        <f t="shared" si="3"/>
        <v>Internal</v>
      </c>
    </row>
    <row r="41">
      <c r="A41" s="117" t="s">
        <v>678</v>
      </c>
      <c r="B41" s="117" t="s">
        <v>90</v>
      </c>
      <c r="C41" s="117" t="s">
        <v>472</v>
      </c>
      <c r="D41" s="117" t="s">
        <v>679</v>
      </c>
      <c r="E41" s="117" t="s">
        <v>627</v>
      </c>
      <c r="F41" s="117" t="s">
        <v>680</v>
      </c>
      <c r="G41" s="117" t="s">
        <v>132</v>
      </c>
      <c r="H41" s="117"/>
      <c r="I41" s="119" t="s">
        <v>681</v>
      </c>
      <c r="J41" s="117" t="s">
        <v>57</v>
      </c>
      <c r="K41" s="117" t="s">
        <v>30</v>
      </c>
      <c r="L41" s="117" t="s">
        <v>150</v>
      </c>
      <c r="M41" s="117" t="s">
        <v>45</v>
      </c>
      <c r="N41" s="117"/>
      <c r="O41" s="117" t="s">
        <v>97</v>
      </c>
      <c r="P41" s="117" t="s">
        <v>151</v>
      </c>
      <c r="Q41" s="18" t="s">
        <v>682</v>
      </c>
      <c r="R41" s="18" t="s">
        <v>683</v>
      </c>
      <c r="S41" s="18"/>
      <c r="T41" s="18"/>
      <c r="U41" s="18">
        <f t="shared" si="1"/>
        <v>3</v>
      </c>
      <c r="V41" s="18">
        <f t="shared" si="2"/>
        <v>1</v>
      </c>
      <c r="W41" s="18" t="str">
        <f t="shared" si="3"/>
        <v>Internal</v>
      </c>
    </row>
  </sheetData>
  <hyperlinks>
    <hyperlink r:id="rId1" ref="I2"/>
    <hyperlink r:id="rId2" ref="I3"/>
    <hyperlink r:id="rId3" ref="I4"/>
    <hyperlink r:id="rId4" ref="I5"/>
    <hyperlink r:id="rId5" ref="I6"/>
    <hyperlink r:id="rId6" ref="I7"/>
    <hyperlink r:id="rId7" ref="D8"/>
    <hyperlink r:id="rId8" ref="I8"/>
    <hyperlink r:id="rId9" ref="I9"/>
    <hyperlink r:id="rId10" ref="I10"/>
    <hyperlink r:id="rId11" ref="I11"/>
    <hyperlink r:id="rId12" ref="I12"/>
    <hyperlink r:id="rId13" ref="I13"/>
    <hyperlink r:id="rId14" ref="I14"/>
    <hyperlink r:id="rId15" ref="I15"/>
    <hyperlink r:id="rId16" ref="I16"/>
    <hyperlink r:id="rId17" ref="I17"/>
    <hyperlink r:id="rId18" ref="I18"/>
    <hyperlink r:id="rId19" ref="I19"/>
    <hyperlink r:id="rId20" ref="I20"/>
    <hyperlink r:id="rId21" ref="I21"/>
    <hyperlink r:id="rId22" ref="I22"/>
    <hyperlink r:id="rId23" ref="I23"/>
    <hyperlink r:id="rId24" ref="I24"/>
    <hyperlink r:id="rId25" ref="I25"/>
    <hyperlink r:id="rId26" ref="I26"/>
    <hyperlink r:id="rId27" ref="I27"/>
    <hyperlink r:id="rId28" ref="I28"/>
    <hyperlink r:id="rId29" ref="I29"/>
    <hyperlink r:id="rId30" ref="I30"/>
    <hyperlink r:id="rId31" ref="I31"/>
    <hyperlink r:id="rId32" ref="I32"/>
    <hyperlink r:id="rId33" ref="I33"/>
    <hyperlink r:id="rId34" ref="I34"/>
    <hyperlink r:id="rId35" ref="I35"/>
    <hyperlink r:id="rId36" ref="I36"/>
    <hyperlink r:id="rId37" ref="I37"/>
    <hyperlink r:id="rId38" ref="I38"/>
    <hyperlink r:id="rId39" ref="I39"/>
    <hyperlink r:id="rId40" ref="I40"/>
    <hyperlink r:id="rId41" ref="I41"/>
  </hyperlinks>
  <drawing r:id="rId4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4.0"/>
    <col customWidth="1" min="3" max="3" width="17.29"/>
    <col customWidth="1" min="4" max="4" width="15.0"/>
    <col customWidth="1" min="5" max="6" width="16.0"/>
    <col customWidth="1" min="7" max="7" width="15.0"/>
    <col customWidth="1" min="8" max="8" width="17.86"/>
    <col customWidth="1" min="9" max="9" width="14.29"/>
    <col customWidth="1" min="10" max="15" width="8.71"/>
    <col customWidth="1" min="16" max="16" width="9.14"/>
    <col customWidth="1" min="17" max="26" width="8.71"/>
  </cols>
  <sheetData>
    <row r="1" ht="16.5" customHeight="1">
      <c r="A1" s="1" t="s">
        <v>1007</v>
      </c>
      <c r="I1" s="18"/>
    </row>
    <row r="2" ht="16.5" customHeight="1">
      <c r="A2" s="2" t="s">
        <v>1008</v>
      </c>
    </row>
    <row r="3" ht="16.5" customHeight="1"/>
    <row r="4" ht="16.5" customHeight="1">
      <c r="A4" s="136" t="s">
        <v>1009</v>
      </c>
    </row>
    <row r="5" ht="16.5" customHeight="1">
      <c r="A5" s="7" t="s">
        <v>2</v>
      </c>
      <c r="B5" s="7" t="s">
        <v>3</v>
      </c>
      <c r="C5" s="7" t="s">
        <v>180</v>
      </c>
      <c r="D5" s="7" t="s">
        <v>57</v>
      </c>
      <c r="E5" s="7" t="s">
        <v>29</v>
      </c>
      <c r="F5" s="7" t="s">
        <v>42</v>
      </c>
      <c r="G5" s="7" t="s">
        <v>30</v>
      </c>
      <c r="H5" s="7" t="s">
        <v>1010</v>
      </c>
    </row>
    <row r="6" ht="16.5" customHeight="1">
      <c r="A6" s="137" t="s">
        <v>23</v>
      </c>
      <c r="B6" s="137" t="s">
        <v>24</v>
      </c>
      <c r="C6" s="138">
        <f>COUNTIFS(TEST_NYC_Coding!$B$5:$B$81,"National/Federal",TEST_NYC_Coding!$J$5:$J$81,"Prohibitive")</f>
        <v>0</v>
      </c>
      <c r="D6" s="138">
        <f>COUNTIFS(TEST_NYC_Coding!$B$5:$B$81,"National/Federal",TEST_NYC_Coding!$J$5:$J$81,"Cautious")</f>
        <v>2</v>
      </c>
      <c r="E6" s="138">
        <f>COUNTIFS(TEST_NYC_Coding!$B$5:$B$81,"National/Federal",TEST_NYC_Coding!$J$5:$J$81,"Functional")</f>
        <v>1</v>
      </c>
      <c r="F6" s="138">
        <f>COUNTIFS(TEST_NYC_Coding!$B$5:$B$81,"National/Federal",TEST_NYC_Coding!$J$5:$J$81,"Encouraging")</f>
        <v>2</v>
      </c>
      <c r="G6" s="138">
        <f>COUNTIFS(TEST_NYC_Coding!$B$5:$B$81,"National/Federal",TEST_NYC_Coding!$J$5:$J$81,"Not specified")</f>
        <v>0</v>
      </c>
      <c r="H6" s="138">
        <f t="shared" ref="H6:H15" si="1">SUM(C6:G6)</f>
        <v>5</v>
      </c>
      <c r="I6" s="29"/>
      <c r="J6" s="139" t="s">
        <v>1011</v>
      </c>
      <c r="K6" s="29"/>
      <c r="L6" s="29"/>
    </row>
    <row r="7" ht="16.5" customHeight="1">
      <c r="A7" s="137" t="s">
        <v>23</v>
      </c>
      <c r="B7" s="137" t="s">
        <v>472</v>
      </c>
      <c r="C7" s="138">
        <f>COUNTIFS(TEST_HK_Coding!$B$5:$B$55,"National/Federal",TEST_HK_Coding!$J$5:$J$55,"Prohibitive")</f>
        <v>0</v>
      </c>
      <c r="D7" s="138">
        <f>COUNTIFS(TEST_HK_Coding!$B$5:$B$55,"National/Federal",TEST_HK_Coding!$J$5:$J$55,"Cautious")</f>
        <v>0</v>
      </c>
      <c r="E7" s="138">
        <f>COUNTIFS(TEST_HK_Coding!$B$5:$B$55,"National/Federal",TEST_HK_Coding!$J$5:$J$55,"Functional")</f>
        <v>0</v>
      </c>
      <c r="F7" s="138">
        <f>COUNTIFS(TEST_HK_Coding!$B$5:$B$55,"National/Federal",TEST_HK_Coding!$J$5:$J$55,"Encouraging")</f>
        <v>2</v>
      </c>
      <c r="G7" s="138">
        <f>COUNTIFS(TEST_HK_Coding!$B$5:$B$55,"National/Federal",TEST_HK_Coding!$J$5:$J$55,"Not specified")</f>
        <v>0</v>
      </c>
      <c r="H7" s="138">
        <f t="shared" si="1"/>
        <v>2</v>
      </c>
      <c r="I7" s="29"/>
      <c r="J7" s="29" t="s">
        <v>24</v>
      </c>
      <c r="K7" s="29">
        <f t="shared" ref="K7:K8" si="2">H6+H8</f>
        <v>9</v>
      </c>
      <c r="L7" s="29"/>
    </row>
    <row r="8" ht="16.5" customHeight="1">
      <c r="A8" s="137" t="s">
        <v>68</v>
      </c>
      <c r="B8" s="137" t="s">
        <v>24</v>
      </c>
      <c r="C8" s="138">
        <f>COUNTIFS(TEST_NYC_Coding!$B$5:$B$81,"State/Territory",TEST_NYC_Coding!$J$5:$J$81,"Prohibitive")</f>
        <v>0</v>
      </c>
      <c r="D8" s="138">
        <f>COUNTIFS(TEST_NYC_Coding!$B$5:$B$81,"State/Territory",TEST_NYC_Coding!$J$5:$J$81,"Cautious")</f>
        <v>4</v>
      </c>
      <c r="E8" s="138">
        <f>COUNTIFS(TEST_NYC_Coding!$B$5:$B$81,"State/Territory",TEST_NYC_Coding!$J$5:$J$81,"Functional")</f>
        <v>0</v>
      </c>
      <c r="F8" s="138">
        <f>COUNTIFS(TEST_NYC_Coding!$B$5:$B$81,"State/Territory",TEST_NYC_Coding!$J$5:$J$81,"Encouraging")</f>
        <v>0</v>
      </c>
      <c r="G8" s="138">
        <f>COUNTIFS(TEST_NYC_Coding!$B$5:$B$81,"State/Territory",TEST_NYC_Coding!$J$5:$J$81,"Not specified")</f>
        <v>0</v>
      </c>
      <c r="H8" s="138">
        <f t="shared" si="1"/>
        <v>4</v>
      </c>
      <c r="I8" s="29"/>
      <c r="J8" s="29" t="s">
        <v>1012</v>
      </c>
      <c r="K8" s="29">
        <f t="shared" si="2"/>
        <v>9</v>
      </c>
      <c r="L8" s="29"/>
    </row>
    <row r="9" ht="16.5" customHeight="1">
      <c r="A9" s="137" t="s">
        <v>68</v>
      </c>
      <c r="B9" s="137" t="s">
        <v>472</v>
      </c>
      <c r="C9" s="138">
        <f>COUNTIFS(TEST_HK_Coding!$B$5:$B$55,"State/Territory",TEST_HK_Coding!$J$5:$J$55,"Prohibitive")</f>
        <v>0</v>
      </c>
      <c r="D9" s="138">
        <f>COUNTIFS(TEST_HK_Coding!$B$5:$B$55,"State/Territory",TEST_HK_Coding!$J$5:$J$55,"Cautious")</f>
        <v>2</v>
      </c>
      <c r="E9" s="138">
        <f>COUNTIFS(TEST_HK_Coding!$B$5:$B$55,"State/Territory",TEST_HK_Coding!$J$5:$J$55,"Functional")</f>
        <v>0</v>
      </c>
      <c r="F9" s="138">
        <f>COUNTIFS(TEST_HK_Coding!$B$5:$B$55,"State/Territory",TEST_HK_Coding!$J$5:$J$55,"Encouraging")</f>
        <v>5</v>
      </c>
      <c r="G9" s="138">
        <f>COUNTIFS(TEST_HK_Coding!$B$5:$B$55,"State/Territory",TEST_HK_Coding!$J$5:$J$55,"Not specified")</f>
        <v>0</v>
      </c>
      <c r="H9" s="138">
        <f t="shared" si="1"/>
        <v>7</v>
      </c>
      <c r="I9" s="29"/>
      <c r="J9" s="29"/>
      <c r="K9" s="29"/>
      <c r="L9" s="29"/>
    </row>
    <row r="10" ht="16.5" customHeight="1">
      <c r="A10" s="140" t="s">
        <v>90</v>
      </c>
      <c r="B10" s="140" t="s">
        <v>24</v>
      </c>
      <c r="C10" s="141">
        <f>COUNTIFS(TEST_NYC_Coding!$B$5:$B$81,"Institutional",TEST_NYC_Coding!$J$5:$J$81,"Prohibitive")</f>
        <v>0</v>
      </c>
      <c r="D10" s="141">
        <f>COUNTIFS(TEST_NYC_Coding!$B$5:$B$81,"Institutional",TEST_NYC_Coding!$J$5:$J$81,"Cautious")</f>
        <v>1</v>
      </c>
      <c r="E10" s="141">
        <f>COUNTIFS(TEST_NYC_Coding!$B$5:$B$81,"Institutional",TEST_NYC_Coding!$J$5:$J$81,"Functional")</f>
        <v>3</v>
      </c>
      <c r="F10" s="141">
        <f>COUNTIFS(TEST_NYC_Coding!$B$5:$B$81,"Institutional",TEST_NYC_Coding!$J$5:$J$81,"Encouraging")</f>
        <v>1</v>
      </c>
      <c r="G10" s="141">
        <f>COUNTIFS(TEST_NYC_Coding!$B$5:$B$81,"Institutional",TEST_NYC_Coding!$J$5:$J$81,"Not specified")</f>
        <v>0</v>
      </c>
      <c r="H10" s="141">
        <f t="shared" si="1"/>
        <v>5</v>
      </c>
      <c r="I10" s="54"/>
      <c r="J10" s="54"/>
      <c r="K10" s="54"/>
      <c r="L10" s="54"/>
      <c r="M10" s="54"/>
    </row>
    <row r="11" ht="16.5" customHeight="1">
      <c r="A11" s="140" t="s">
        <v>90</v>
      </c>
      <c r="B11" s="140" t="s">
        <v>472</v>
      </c>
      <c r="C11" s="141">
        <f>COUNTIFS(TEST_HK_Coding!$B$5:$B$55,"Institutional",TEST_HK_Coding!$J$5:$J$55,"Prohibitive")</f>
        <v>0</v>
      </c>
      <c r="D11" s="141">
        <f>COUNTIFS(TEST_HK_Coding!$B$5:$B$55,"Institutional",TEST_HK_Coding!$J$5:$J$55,"Cautious")</f>
        <v>3</v>
      </c>
      <c r="E11" s="141">
        <f>COUNTIFS(TEST_HK_Coding!$B$5:$B$55,"Institutional",TEST_HK_Coding!$J$5:$J$55,"Functional")</f>
        <v>3</v>
      </c>
      <c r="F11" s="141">
        <f>COUNTIFS(TEST_HK_Coding!$B$5:$B$55,"Institutional",TEST_HK_Coding!$J$5:$J$55,"Encouraging")</f>
        <v>11</v>
      </c>
      <c r="G11" s="141">
        <f>COUNTIFS(TEST_HK_Coding!$B$5:$B$55,"Institutional",TEST_HK_Coding!$J$5:$J$55,"Not specified")</f>
        <v>0</v>
      </c>
      <c r="H11" s="141">
        <f t="shared" si="1"/>
        <v>17</v>
      </c>
      <c r="I11" s="54"/>
      <c r="J11" s="142" t="s">
        <v>1013</v>
      </c>
      <c r="K11" s="54"/>
      <c r="L11" s="54" t="s">
        <v>1014</v>
      </c>
      <c r="M11" s="54"/>
    </row>
    <row r="12" ht="16.5" customHeight="1">
      <c r="A12" s="140" t="s">
        <v>114</v>
      </c>
      <c r="B12" s="140" t="s">
        <v>24</v>
      </c>
      <c r="C12" s="141">
        <f>COUNTIFS(TEST_NYC_Coding!$B$5:$B$81,"Faculty/Department",TEST_NYC_Coding!$J$5:$J$81,"Prohibitive")</f>
        <v>0</v>
      </c>
      <c r="D12" s="141">
        <f>COUNTIFS(TEST_NYC_Coding!$B$5:$B$81,"Faculty/School",TEST_NYC_Coding!$J$5:$J$81,"Cautious")</f>
        <v>3</v>
      </c>
      <c r="E12" s="141">
        <f>COUNTIFS(TEST_NYC_Coding!$B$5:$B$81,"Faculty/School",TEST_NYC_Coding!$J$5:$J$81,"Functional")</f>
        <v>5</v>
      </c>
      <c r="F12" s="141">
        <f>COUNTIFS(TEST_NYC_Coding!$B$5:$B$81,"Faculty/School",TEST_NYC_Coding!$J$5:$J$81,"Encouraging")</f>
        <v>1</v>
      </c>
      <c r="G12" s="141">
        <f>COUNTIFS(TEST_NYC_Coding!$B$5:$B$81,"Faculty/School",TEST_NYC_Coding!$J$5:$J$81,"Not specified")</f>
        <v>0</v>
      </c>
      <c r="H12" s="141">
        <f t="shared" si="1"/>
        <v>9</v>
      </c>
      <c r="I12" s="54"/>
      <c r="J12" s="54" t="s">
        <v>24</v>
      </c>
      <c r="K12" s="54">
        <f t="shared" ref="K12:K13" si="3">H10+H12+H14</f>
        <v>31</v>
      </c>
      <c r="L12" s="54"/>
      <c r="M12" s="54">
        <f t="shared" ref="M12:M13" si="4">K12-L12</f>
        <v>31</v>
      </c>
    </row>
    <row r="13" ht="16.5" customHeight="1">
      <c r="A13" s="140" t="s">
        <v>114</v>
      </c>
      <c r="B13" s="140" t="s">
        <v>472</v>
      </c>
      <c r="C13" s="141">
        <f>COUNTIFS(TEST_HK_Coding!$B$5:$B$55,"Faculty/School",TEST_HK_Coding!$J$5:$J$55,"Prohibitive")</f>
        <v>0</v>
      </c>
      <c r="D13" s="141">
        <f>COUNTIFS(TEST_HK_Coding!$B$5:$B$55,"Faculty/School",TEST_HK_Coding!$J$5:$J$55,"Cautious")</f>
        <v>3</v>
      </c>
      <c r="E13" s="141">
        <f>COUNTIFS(TEST_HK_Coding!$B$5:$B$55,"Faculty/School",TEST_HK_Coding!$J$5:$J$55,"Functional")</f>
        <v>3</v>
      </c>
      <c r="F13" s="141">
        <f>COUNTIFS(TEST_HK_Coding!$B$5:$B$55,"Faculty/School",TEST_HK_Coding!$J$5:$J$55,"Encouraging")</f>
        <v>2</v>
      </c>
      <c r="G13" s="141">
        <f>COUNTIFS(TEST_HK_Coding!$B$5:$B$55,"Faculty/School",TEST_HK_Coding!$J$5:$J$55,"Not specified")</f>
        <v>0</v>
      </c>
      <c r="H13" s="141">
        <f t="shared" si="1"/>
        <v>8</v>
      </c>
      <c r="I13" s="54"/>
      <c r="J13" s="54" t="s">
        <v>1012</v>
      </c>
      <c r="K13" s="54">
        <f t="shared" si="3"/>
        <v>39</v>
      </c>
      <c r="L13" s="54">
        <f>SUM(TEST_HK_Coding!V5:V55)</f>
        <v>8</v>
      </c>
      <c r="M13" s="54">
        <f t="shared" si="4"/>
        <v>31</v>
      </c>
    </row>
    <row r="14" ht="16.5" customHeight="1">
      <c r="A14" s="140" t="s">
        <v>174</v>
      </c>
      <c r="B14" s="140" t="s">
        <v>24</v>
      </c>
      <c r="C14" s="141">
        <f>COUNTIFS(TEST_NYC_Coding!$B$5:$B$81,"Course-wide",TEST_NYC_Coding!$J$5:$J$81,"Prohibitive")</f>
        <v>3</v>
      </c>
      <c r="D14" s="141">
        <f>COUNTIFS(TEST_NYC_Coding!$B$5:$B$81,"Course-wide",TEST_NYC_Coding!$J$5:$J$81,"Cautious")</f>
        <v>3</v>
      </c>
      <c r="E14" s="141">
        <f>COUNTIFS(TEST_NYC_Coding!$B$5:$B$81,"Course-wide",TEST_NYC_Coding!$J$5:$J$81,"Functional")</f>
        <v>7</v>
      </c>
      <c r="F14" s="141">
        <f>COUNTIFS(TEST_NYC_Coding!$B$5:$B$81,"Course-wide",TEST_NYC_Coding!$J$5:$J$81,"Encouraging")</f>
        <v>4</v>
      </c>
      <c r="G14" s="141">
        <f>COUNTIFS(TEST_NYC_Coding!$B$5:$B$81,"Course-wide",TEST_NYC_Coding!$J$5:$J$81,"Not specified")</f>
        <v>0</v>
      </c>
      <c r="H14" s="141">
        <f t="shared" si="1"/>
        <v>17</v>
      </c>
      <c r="I14" s="54"/>
      <c r="J14" s="54"/>
      <c r="K14" s="54"/>
      <c r="L14" s="54"/>
      <c r="M14" s="54"/>
    </row>
    <row r="15" ht="16.5" customHeight="1">
      <c r="A15" s="140" t="s">
        <v>174</v>
      </c>
      <c r="B15" s="140" t="s">
        <v>472</v>
      </c>
      <c r="C15" s="141">
        <f>COUNTIFS(TEST_HK_Coding!$B$5:$B$55,"Course-wide",TEST_HK_Coding!$J$5:$J$55,"Prohibitive")</f>
        <v>0</v>
      </c>
      <c r="D15" s="141">
        <f>COUNTIFS(TEST_HK_Coding!$B$5:$B$55,"Course-wide",TEST_HK_Coding!$J$5:$J$55,"Cautious")</f>
        <v>1</v>
      </c>
      <c r="E15" s="141">
        <f>COUNTIFS(TEST_HK_Coding!$B$5:$B$55,"Course-wide",TEST_HK_Coding!$J$5:$J$55,"Functional")</f>
        <v>5</v>
      </c>
      <c r="F15" s="141">
        <f>COUNTIFS(TEST_HK_Coding!$B$5:$B$55,"Course-wide",TEST_HK_Coding!$J$5:$J$55,"Encouraging")</f>
        <v>0</v>
      </c>
      <c r="G15" s="141">
        <f>COUNTIFS(TEST_HK_Coding!$B$5:$B$55,"Course-wide",TEST_HK_Coding!$J$5:$J$55,"Not specified")</f>
        <v>8</v>
      </c>
      <c r="H15" s="141">
        <f t="shared" si="1"/>
        <v>14</v>
      </c>
      <c r="I15" s="54"/>
      <c r="J15" s="54"/>
      <c r="K15" s="54"/>
      <c r="L15" s="54"/>
      <c r="M15" s="54"/>
    </row>
    <row r="16" ht="16.5" customHeight="1"/>
    <row r="17" ht="16.5" customHeight="1"/>
    <row r="18" ht="16.5" customHeight="1">
      <c r="A18" s="136" t="s">
        <v>1015</v>
      </c>
    </row>
    <row r="19" ht="16.5" customHeight="1">
      <c r="A19" s="7" t="s">
        <v>3</v>
      </c>
      <c r="B19" s="7" t="s">
        <v>82</v>
      </c>
      <c r="C19" s="7" t="s">
        <v>58</v>
      </c>
      <c r="D19" s="7" t="s">
        <v>102</v>
      </c>
      <c r="E19" s="7" t="s">
        <v>1016</v>
      </c>
      <c r="F19" s="7" t="s">
        <v>1017</v>
      </c>
    </row>
    <row r="20" ht="16.5" customHeight="1">
      <c r="A20" s="143" t="s">
        <v>24</v>
      </c>
      <c r="B20" s="144">
        <f>COUNTIF(TEST_NYC_Coding!$K$5:$K$81,"Required")</f>
        <v>18</v>
      </c>
      <c r="C20" s="144">
        <f>COUNTIF(TEST_NYC_Coding!$K$5:$K$81,"Recommended")</f>
        <v>9</v>
      </c>
      <c r="D20" s="144">
        <f>COUNTIF(TEST_NYC_Coding!$K$5:$K$81,"Conditional")</f>
        <v>3</v>
      </c>
      <c r="E20" s="144">
        <f>COUNTIF(TEST_NYC_Coding!$K$5:$K$81,"Not specified")</f>
        <v>10</v>
      </c>
      <c r="F20" s="144">
        <f t="shared" ref="F20:F21" si="5">SUM(B20:E20)</f>
        <v>40</v>
      </c>
    </row>
    <row r="21" ht="16.5" customHeight="1">
      <c r="A21" s="143" t="s">
        <v>472</v>
      </c>
      <c r="B21" s="144">
        <f>COUNTIF(TEST_HK_Coding!$K$5:$K$55,"Required")</f>
        <v>12</v>
      </c>
      <c r="C21" s="144">
        <f>COUNTIF(TEST_HK_Coding!$K$5:$K$55,"Recommended")</f>
        <v>1</v>
      </c>
      <c r="D21" s="144">
        <f>COUNTIF(TEST_HK_Coding!$K$5:$K$55,"Conditional")</f>
        <v>2</v>
      </c>
      <c r="E21" s="144">
        <f>COUNTIF(TEST_HK_Coding!$K$5:$K$55,"Not specified")</f>
        <v>33</v>
      </c>
      <c r="F21" s="144">
        <f t="shared" si="5"/>
        <v>48</v>
      </c>
    </row>
    <row r="22" ht="16.5" customHeight="1"/>
    <row r="23" ht="16.5" customHeight="1"/>
    <row r="24" ht="16.5" customHeight="1">
      <c r="A24" s="136" t="s">
        <v>1018</v>
      </c>
    </row>
    <row r="25" ht="16.5" customHeight="1">
      <c r="A25" s="7" t="s">
        <v>3</v>
      </c>
      <c r="B25" s="7" t="s">
        <v>31</v>
      </c>
      <c r="C25" s="7" t="s">
        <v>150</v>
      </c>
      <c r="D25" s="7" t="s">
        <v>103</v>
      </c>
      <c r="E25" s="7" t="s">
        <v>43</v>
      </c>
      <c r="F25" s="7" t="s">
        <v>30</v>
      </c>
      <c r="G25" s="7" t="s">
        <v>1017</v>
      </c>
    </row>
    <row r="26" ht="16.5" customHeight="1">
      <c r="A26" s="143" t="s">
        <v>24</v>
      </c>
      <c r="B26" s="144">
        <f>COUNTIF(TEST_NYC_Coding!$L$5:$L$81,"Gov-mandated")</f>
        <v>2</v>
      </c>
      <c r="C26" s="144">
        <f>COUNTIF(TEST_NYC_Coding!$L$5:$L$81,"Faculty/Inst. decides")</f>
        <v>1</v>
      </c>
      <c r="D26" s="144">
        <f>COUNTIF(TEST_NYC_Coding!$L$5:$L$81,"Instructor decides")</f>
        <v>27</v>
      </c>
      <c r="E26" s="144">
        <f>COUNTIF(TEST_NYC_Coding!$L$5:$L$81,"Hybrid/Mixed")</f>
        <v>6</v>
      </c>
      <c r="F26" s="144">
        <f>COUNTIF(TEST_NYC_Coding!$L$5:$L$81,"Not specified")</f>
        <v>4</v>
      </c>
      <c r="G26" s="144">
        <f t="shared" ref="G26:G27" si="6">SUM(B26:F26)</f>
        <v>40</v>
      </c>
    </row>
    <row r="27" ht="16.5" customHeight="1">
      <c r="A27" s="143" t="s">
        <v>472</v>
      </c>
      <c r="B27" s="144">
        <f>COUNTIF(TEST_HK_Coding!$L$5:$L$55,"Gov-mandated")</f>
        <v>4</v>
      </c>
      <c r="C27" s="144">
        <f>COUNTIF(TEST_HK_Coding!$L$5:$L$55,"Faculty/Inst. decides")</f>
        <v>13</v>
      </c>
      <c r="D27" s="144">
        <f>COUNTIF(TEST_HK_Coding!$L$5:$L$55,"Instructor decides")</f>
        <v>11</v>
      </c>
      <c r="E27" s="144">
        <f>COUNTIF(TEST_HK_Coding!$L$5:$L$55,"Hybrid/Mixed")</f>
        <v>1</v>
      </c>
      <c r="F27" s="144">
        <f>COUNTIF(TEST_HK_Coding!$L$5:$L$55,"Not specified")</f>
        <v>19</v>
      </c>
      <c r="G27" s="144">
        <f t="shared" si="6"/>
        <v>48</v>
      </c>
    </row>
    <row r="28" ht="16.5" customHeight="1"/>
    <row r="29" ht="16.5" customHeight="1"/>
    <row r="30" ht="16.5" customHeight="1">
      <c r="A30" s="136" t="s">
        <v>1019</v>
      </c>
    </row>
    <row r="31" ht="16.5" customHeight="1">
      <c r="A31" s="7" t="s">
        <v>3</v>
      </c>
      <c r="B31" s="7" t="s">
        <v>96</v>
      </c>
      <c r="C31" s="7" t="s">
        <v>45</v>
      </c>
      <c r="D31" s="7" t="s">
        <v>44</v>
      </c>
      <c r="E31" s="7" t="s">
        <v>33</v>
      </c>
      <c r="F31" s="7" t="s">
        <v>32</v>
      </c>
      <c r="G31" s="7" t="s">
        <v>59</v>
      </c>
      <c r="H31" s="7" t="s">
        <v>1017</v>
      </c>
    </row>
    <row r="32" ht="16.5" customHeight="1">
      <c r="A32" s="143" t="s">
        <v>24</v>
      </c>
      <c r="B32" s="144">
        <f>COUNTIF(TEST_NYC_Coding!$M$5:$M$81,"Academic Integrity")</f>
        <v>11</v>
      </c>
      <c r="C32" s="144">
        <f>COUNTIF(TEST_NYC_Coding!$M$5:$M$81,"AI Literacy")</f>
        <v>5</v>
      </c>
      <c r="D32" s="144">
        <f>COUNTIF(TEST_NYC_Coding!$M$5:$M$81,"Pedagogy/Learning")</f>
        <v>13</v>
      </c>
      <c r="E32" s="144">
        <f>COUNTIF(TEST_NYC_Coding!$M$5:$M$81,"Professional Readiness")</f>
        <v>4</v>
      </c>
      <c r="F32" s="144">
        <f>COUNTIF(TEST_NYC_Coding!$M$5:$M$81,"Privacy/Data/Ethics")</f>
        <v>6</v>
      </c>
      <c r="G32" s="144">
        <f>COUNTIF(TEST_NYC_Coding!$M$5:$M$81,"Equity")</f>
        <v>1</v>
      </c>
      <c r="H32" s="144">
        <f t="shared" ref="H32:H33" si="7">SUM(B32:G32)</f>
        <v>40</v>
      </c>
    </row>
    <row r="33" ht="16.5" customHeight="1">
      <c r="A33" s="143" t="s">
        <v>472</v>
      </c>
      <c r="B33" s="144">
        <f>COUNTIF(TEST_HK_Coding!$M$5:$M$55,"Academic Integrity")</f>
        <v>19</v>
      </c>
      <c r="C33" s="144">
        <f>COUNTIF(TEST_HK_Coding!$M$5:$M$55,"AI Literacy")</f>
        <v>12</v>
      </c>
      <c r="D33" s="144">
        <f>COUNTIF(TEST_HK_Coding!$M$5:$M$55,"Pedagogy/Learning")</f>
        <v>12</v>
      </c>
      <c r="E33" s="144">
        <f>COUNTIF(TEST_HK_Coding!$M$5:$M$55,"Professional Readiness")</f>
        <v>2</v>
      </c>
      <c r="F33" s="144">
        <f>COUNTIF(TEST_HK_Coding!$M$5:$M$55,"Privacy/Data/Ethics")</f>
        <v>2</v>
      </c>
      <c r="G33" s="144">
        <f>COUNTIF(TEST_HK_Coding!$M$5:$M$55,"Equity")</f>
        <v>1</v>
      </c>
      <c r="H33" s="144">
        <f t="shared" si="7"/>
        <v>48</v>
      </c>
    </row>
    <row r="34" ht="16.5" customHeight="1"/>
    <row r="35" ht="16.5" customHeight="1"/>
    <row r="36" ht="16.5" customHeight="1">
      <c r="A36" s="136" t="s">
        <v>1020</v>
      </c>
    </row>
    <row r="37" ht="16.5" customHeight="1">
      <c r="A37" s="7" t="s">
        <v>3</v>
      </c>
      <c r="B37" s="7" t="s">
        <v>1021</v>
      </c>
      <c r="C37" s="7" t="s">
        <v>1022</v>
      </c>
      <c r="D37" s="7" t="s">
        <v>1023</v>
      </c>
    </row>
    <row r="38" ht="16.5" customHeight="1">
      <c r="A38" s="143" t="s">
        <v>24</v>
      </c>
      <c r="B38" s="144">
        <f>COUNTA(TEST_NYC_Coding!$B$5:$B$81)</f>
        <v>40</v>
      </c>
      <c r="C38" s="144">
        <v>13.0</v>
      </c>
      <c r="D38" s="144" t="str">
        <f t="shared" ref="D38:D39" si="8">IF(B38&gt;=C38,"✓ Met","In progress")</f>
        <v>✓ Met</v>
      </c>
    </row>
    <row r="39" ht="16.5" customHeight="1">
      <c r="A39" s="143" t="s">
        <v>472</v>
      </c>
      <c r="B39" s="144">
        <f>COUNTA(TEST_HK_Coding!$B$5:$B$55)</f>
        <v>48</v>
      </c>
      <c r="C39" s="144">
        <v>13.0</v>
      </c>
      <c r="D39" s="144" t="str">
        <f t="shared" si="8"/>
        <v>✓ Met</v>
      </c>
    </row>
    <row r="40" ht="16.5" customHeight="1"/>
    <row r="41" ht="16.5" customHeight="1"/>
    <row r="42" ht="16.5" customHeight="1">
      <c r="A42" s="136" t="s">
        <v>1024</v>
      </c>
    </row>
    <row r="43" ht="16.5" customHeight="1">
      <c r="A43" s="7" t="s">
        <v>3</v>
      </c>
      <c r="B43" s="7" t="s">
        <v>278</v>
      </c>
      <c r="C43" s="7" t="s">
        <v>51</v>
      </c>
      <c r="D43" s="7" t="s">
        <v>27</v>
      </c>
      <c r="E43" s="7" t="s">
        <v>94</v>
      </c>
      <c r="F43" s="7" t="s">
        <v>121</v>
      </c>
      <c r="G43" s="7" t="s">
        <v>177</v>
      </c>
      <c r="H43" s="7" t="s">
        <v>132</v>
      </c>
      <c r="I43" s="7" t="s">
        <v>1025</v>
      </c>
      <c r="J43" s="7" t="s">
        <v>71</v>
      </c>
      <c r="K43" s="7" t="s">
        <v>1017</v>
      </c>
    </row>
    <row r="44" ht="16.5" customHeight="1">
      <c r="A44" s="143" t="s">
        <v>24</v>
      </c>
      <c r="B44" s="144">
        <f>COUNTIF(TEST_NYC_Coding!$G$5:$G$81,B43)</f>
        <v>0</v>
      </c>
      <c r="C44" s="144">
        <f>COUNTIF(TEST_NYC_Coding!$G$5:$G$81,C43)</f>
        <v>1</v>
      </c>
      <c r="D44" s="144">
        <f>COUNTIF(TEST_NYC_Coding!$G$5:$G$81,D43)</f>
        <v>7</v>
      </c>
      <c r="E44" s="144">
        <f>COUNTIF(TEST_NYC_Coding!$G$5:$G$81,E43)</f>
        <v>10</v>
      </c>
      <c r="F44" s="144">
        <f>COUNTIF(TEST_NYC_Coding!$G$5:$G$81,F43)</f>
        <v>1</v>
      </c>
      <c r="G44" s="144">
        <f>COUNTIF(TEST_NYC_Coding!$G$5:$G$81,G43)</f>
        <v>17</v>
      </c>
      <c r="H44" s="144">
        <f>COUNTIF(TEST_NYC_Coding!$G$5:$G$81,H43)</f>
        <v>3</v>
      </c>
      <c r="I44" s="144">
        <f>COUNTIF(TEST_NYC_Coding!$G$5:$G$81,I43)</f>
        <v>0</v>
      </c>
      <c r="J44" s="144">
        <f>COUNTIF(TEST_NYC_Coding!$G$5:$G$81,J43)</f>
        <v>1</v>
      </c>
      <c r="K44" s="18">
        <f t="shared" ref="K44:K45" si="9">SUM(B44:J44)</f>
        <v>40</v>
      </c>
    </row>
    <row r="45" ht="16.5" customHeight="1">
      <c r="A45" s="143" t="s">
        <v>472</v>
      </c>
      <c r="B45" s="144">
        <f>COUNTIF(TEST_HK_Coding!$G$5:$G$55,B43)</f>
        <v>1</v>
      </c>
      <c r="C45" s="144">
        <f>COUNTIF(TEST_HK_Coding!$G$5:$G$55,C43)</f>
        <v>0</v>
      </c>
      <c r="D45" s="144">
        <f>COUNTIF(TEST_HK_Coding!$G$5:$G$55,D43)</f>
        <v>10</v>
      </c>
      <c r="E45" s="144">
        <f>COUNTIF(TEST_HK_Coding!$G$5:$G$55,E43)</f>
        <v>10</v>
      </c>
      <c r="F45" s="144">
        <f>COUNTIF(TEST_HK_Coding!$G$5:$G$55,F43)</f>
        <v>2</v>
      </c>
      <c r="G45" s="144">
        <f>COUNTIF(TEST_HK_Coding!$G$5:$G$55,G43)</f>
        <v>15</v>
      </c>
      <c r="H45" s="144">
        <f>COUNTIF(TEST_HK_Coding!$G$5:$G$55,H43)</f>
        <v>7</v>
      </c>
      <c r="I45" s="144">
        <f>COUNTIF(TEST_HK_Coding!$G$5:$G$55,I43)</f>
        <v>0</v>
      </c>
      <c r="J45" s="144">
        <f>COUNTIF(TEST_HK_Coding!$G$5:$G$55,J43)</f>
        <v>3</v>
      </c>
      <c r="K45" s="18">
        <f t="shared" si="9"/>
        <v>48</v>
      </c>
    </row>
    <row r="46" ht="16.5" customHeight="1"/>
    <row r="47" ht="16.5" customHeight="1"/>
    <row r="48" ht="16.5" customHeight="1">
      <c r="A48" s="136" t="s">
        <v>1026</v>
      </c>
    </row>
    <row r="49" ht="16.5" customHeight="1">
      <c r="A49" s="7" t="s">
        <v>3</v>
      </c>
      <c r="B49" s="7" t="s">
        <v>110</v>
      </c>
      <c r="C49" s="7" t="s">
        <v>97</v>
      </c>
      <c r="D49" s="7" t="s">
        <v>34</v>
      </c>
      <c r="E49" s="7" t="s">
        <v>300</v>
      </c>
      <c r="F49" s="7" t="s">
        <v>1017</v>
      </c>
    </row>
    <row r="50" ht="16.5" customHeight="1">
      <c r="A50" s="143" t="s">
        <v>24</v>
      </c>
      <c r="B50" s="18">
        <f>COUNTIF(TEST_NYC_Coding!$O$5:$O$81,B49)</f>
        <v>8</v>
      </c>
      <c r="C50" s="18">
        <f>COUNTIF(TEST_NYC_Coding!$O$5:$O$81,C49)</f>
        <v>18</v>
      </c>
      <c r="D50" s="18">
        <f>COUNTIF(TEST_NYC_Coding!$O$5:$O$81,D49)</f>
        <v>14</v>
      </c>
      <c r="E50" s="18">
        <f>COUNTIF(TEST_NYC_Coding!$O$5:$O$81,E49)</f>
        <v>0</v>
      </c>
      <c r="F50" s="18">
        <f t="shared" ref="F50:F51" si="10">SUM(B50:E50)</f>
        <v>40</v>
      </c>
    </row>
    <row r="51" ht="16.5" customHeight="1">
      <c r="A51" s="143" t="s">
        <v>472</v>
      </c>
      <c r="B51" s="18">
        <f>COUNTIF(TEST_HK_Coding!$O$5:$O$55,B49)</f>
        <v>6</v>
      </c>
      <c r="C51" s="18">
        <f>COUNTIF(TEST_HK_Coding!$O$5:$O$55,C49)</f>
        <v>13</v>
      </c>
      <c r="D51" s="18">
        <f>COUNTIF(TEST_HK_Coding!$O$5:$O$55,D49)</f>
        <v>13</v>
      </c>
      <c r="E51" s="18">
        <f>COUNTIF(TEST_HK_Coding!$O$5:$O$55,E49)</f>
        <v>16</v>
      </c>
      <c r="F51" s="18">
        <f t="shared" si="10"/>
        <v>48</v>
      </c>
    </row>
    <row r="52" ht="16.5" customHeight="1"/>
    <row r="53" ht="16.5" customHeight="1"/>
    <row r="54" ht="16.5" customHeight="1">
      <c r="A54" s="136" t="s">
        <v>1027</v>
      </c>
    </row>
    <row r="55" ht="16.5" customHeight="1">
      <c r="A55" s="7" t="s">
        <v>3</v>
      </c>
      <c r="B55" s="7" t="s">
        <v>151</v>
      </c>
      <c r="C55" s="7" t="s">
        <v>111</v>
      </c>
      <c r="D55" s="7" t="s">
        <v>46</v>
      </c>
      <c r="E55" s="7" t="s">
        <v>503</v>
      </c>
      <c r="F55" s="7" t="s">
        <v>35</v>
      </c>
      <c r="G55" s="7" t="s">
        <v>1017</v>
      </c>
    </row>
    <row r="56" ht="16.5" customHeight="1">
      <c r="A56" s="143" t="s">
        <v>24</v>
      </c>
      <c r="B56" s="18">
        <f>COUNTIF(TEST_NYC_Coding!$P$5:$P$81,B55)</f>
        <v>18</v>
      </c>
      <c r="C56" s="18">
        <f>COUNTIF(TEST_NYC_Coding!$P$5:$P$81,C55)</f>
        <v>4</v>
      </c>
      <c r="D56" s="18">
        <f>COUNTIF(TEST_NYC_Coding!$P$5:$P$81,D55)</f>
        <v>10</v>
      </c>
      <c r="E56" s="18">
        <f>COUNTIF(TEST_NYC_Coding!$P$5:$P$81,E55)</f>
        <v>0</v>
      </c>
      <c r="F56" s="18">
        <f>COUNTIF(TEST_NYC_Coding!$P$5:$P$81,F55)</f>
        <v>8</v>
      </c>
      <c r="G56" s="18">
        <f t="shared" ref="G56:G57" si="11">SUM(B56:F56)</f>
        <v>40</v>
      </c>
    </row>
    <row r="57" ht="16.5" customHeight="1">
      <c r="A57" s="143" t="s">
        <v>472</v>
      </c>
      <c r="B57" s="18">
        <f>COUNTIF(TEST_HK_Coding!$P$5:$P$55,B55)</f>
        <v>21</v>
      </c>
      <c r="C57" s="18">
        <f>COUNTIF(TEST_HK_Coding!$P$5:$P$55,C55)</f>
        <v>0</v>
      </c>
      <c r="D57" s="18">
        <f>COUNTIF(TEST_HK_Coding!$P$5:$P$55,D55)</f>
        <v>16</v>
      </c>
      <c r="E57" s="18">
        <f>COUNTIF(TEST_HK_Coding!$P$5:$P$55,E55)</f>
        <v>4</v>
      </c>
      <c r="F57" s="18">
        <f>COUNTIF(TEST_HK_Coding!$P$5:$P$55,F55)</f>
        <v>7</v>
      </c>
      <c r="G57" s="18">
        <f t="shared" si="11"/>
        <v>48</v>
      </c>
    </row>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row r="1002" ht="16.5" customHeight="1"/>
  </sheetData>
  <mergeCells count="10">
    <mergeCell ref="A42:H42"/>
    <mergeCell ref="A48:H48"/>
    <mergeCell ref="A54:H54"/>
    <mergeCell ref="A1:H1"/>
    <mergeCell ref="A2:H2"/>
    <mergeCell ref="A4:H4"/>
    <mergeCell ref="A18:H18"/>
    <mergeCell ref="A24:H24"/>
    <mergeCell ref="A30:H30"/>
    <mergeCell ref="A36:H36"/>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4.0"/>
    <col customWidth="1" min="3" max="3" width="17.29"/>
    <col customWidth="1" min="4" max="4" width="15.0"/>
    <col customWidth="1" min="5" max="6" width="16.0"/>
    <col customWidth="1" min="7" max="7" width="15.0"/>
    <col customWidth="1" min="8" max="8" width="17.86"/>
    <col customWidth="1" min="9" max="9" width="14.29"/>
    <col customWidth="1" min="10" max="24" width="8.71"/>
  </cols>
  <sheetData>
    <row r="1" ht="16.5" customHeight="1">
      <c r="A1" s="1" t="s">
        <v>1028</v>
      </c>
      <c r="I1" s="145"/>
    </row>
    <row r="2" ht="16.5" customHeight="1">
      <c r="A2" s="2" t="s">
        <v>1008</v>
      </c>
    </row>
    <row r="3" ht="16.5" customHeight="1"/>
    <row r="4" ht="16.5" customHeight="1">
      <c r="A4" s="136" t="s">
        <v>1009</v>
      </c>
    </row>
    <row r="5" ht="16.5" customHeight="1">
      <c r="A5" s="7" t="s">
        <v>2</v>
      </c>
      <c r="B5" s="7" t="s">
        <v>3</v>
      </c>
      <c r="C5" s="7" t="s">
        <v>180</v>
      </c>
      <c r="D5" s="7" t="s">
        <v>57</v>
      </c>
      <c r="E5" s="7" t="s">
        <v>29</v>
      </c>
      <c r="F5" s="7" t="s">
        <v>42</v>
      </c>
      <c r="G5" s="7" t="s">
        <v>30</v>
      </c>
      <c r="H5" s="7" t="s">
        <v>1010</v>
      </c>
    </row>
    <row r="6" ht="16.5" customHeight="1">
      <c r="A6" s="137" t="s">
        <v>23</v>
      </c>
      <c r="B6" s="137" t="s">
        <v>24</v>
      </c>
      <c r="C6" s="138">
        <f>COUNTIFS(TEST_NYC_Coding!$B$5:$B$81,"National/Federal",TEST_NYC_Coding!$J$5:$J$81,"Prohibitive")</f>
        <v>0</v>
      </c>
      <c r="D6" s="138">
        <f>COUNTIFS(TEST_NYC_Coding!$B$5:$B$81,"National/Federal",TEST_NYC_Coding!$J$5:$J$81,"Cautious")</f>
        <v>2</v>
      </c>
      <c r="E6" s="138">
        <f>COUNTIFS(TEST_NYC_Coding!$B$5:$B$81,"National/Federal",TEST_NYC_Coding!$J$5:$J$81,"Functional")</f>
        <v>1</v>
      </c>
      <c r="F6" s="138">
        <f>COUNTIFS(TEST_NYC_Coding!$B$5:$B$81,"National/Federal",TEST_NYC_Coding!$J$5:$J$81,"Encouraging")</f>
        <v>2</v>
      </c>
      <c r="G6" s="138">
        <f>COUNTIFS(TEST_NYC_Coding!$B$5:$B$81,"National/Federal",TEST_NYC_Coding!$J$5:$J$81,"Not specified")</f>
        <v>0</v>
      </c>
      <c r="H6" s="138">
        <f t="shared" ref="H6:H15" si="1">SUM(C6:G6)</f>
        <v>5</v>
      </c>
      <c r="I6" s="29"/>
      <c r="J6" s="139" t="s">
        <v>1011</v>
      </c>
      <c r="K6" s="29"/>
    </row>
    <row r="7" ht="16.5" customHeight="1">
      <c r="A7" s="137" t="s">
        <v>23</v>
      </c>
      <c r="B7" s="137" t="s">
        <v>472</v>
      </c>
      <c r="C7" s="138">
        <f>COUNTIFS(TEST_HK_Coding!$B$5:$B$44,"National/Federal",TEST_HK_Coding!$J$5:$J$44,"Prohibitive")</f>
        <v>0</v>
      </c>
      <c r="D7" s="138">
        <f>COUNTIFS(TEST_HK_Coding!$B$5:$B$44,"National/Federal",TEST_HK_Coding!$J$5:$J$44,"Cautious")</f>
        <v>0</v>
      </c>
      <c r="E7" s="138">
        <f>COUNTIFS(TEST_HK_Coding!$B$5:$B$44,"National/Federal",TEST_HK_Coding!$J$5:$J$44,"Functional")</f>
        <v>0</v>
      </c>
      <c r="F7" s="138">
        <f>COUNTIFS(TEST_HK_Coding!$B$5:$B$44,"National/Federal",TEST_HK_Coding!$J$5:$J$44,"Encouraging")</f>
        <v>2</v>
      </c>
      <c r="G7" s="138">
        <f>COUNTIFS(TEST_HK_Coding!$B$5:$B$44,"National/Federal",TEST_HK_Coding!$J$5:$J$44,"Not specified")</f>
        <v>0</v>
      </c>
      <c r="H7" s="138">
        <f t="shared" si="1"/>
        <v>2</v>
      </c>
      <c r="I7" s="29"/>
      <c r="J7" s="29" t="s">
        <v>24</v>
      </c>
      <c r="K7" s="29">
        <f t="shared" ref="K7:K8" si="2">H6+H8</f>
        <v>9</v>
      </c>
    </row>
    <row r="8" ht="16.5" customHeight="1">
      <c r="A8" s="137" t="s">
        <v>68</v>
      </c>
      <c r="B8" s="137" t="s">
        <v>24</v>
      </c>
      <c r="C8" s="138">
        <f>COUNTIFS(TEST_NYC_Coding!$B$5:$B$81,"State/Territory",TEST_NYC_Coding!$J$5:$J$81,"Prohibitive")</f>
        <v>0</v>
      </c>
      <c r="D8" s="138">
        <f>COUNTIFS(TEST_NYC_Coding!$B$5:$B$81,"State/Territory",TEST_NYC_Coding!$J$5:$J$81,"Cautious")</f>
        <v>4</v>
      </c>
      <c r="E8" s="138">
        <f>COUNTIFS(TEST_NYC_Coding!$B$5:$B$81,"State/Territory",TEST_NYC_Coding!$J$5:$J$81,"Functional")</f>
        <v>0</v>
      </c>
      <c r="F8" s="138">
        <f>COUNTIFS(TEST_NYC_Coding!$B$5:$B$81,"State/Territory",TEST_NYC_Coding!$J$5:$J$81,"Encouraging")</f>
        <v>0</v>
      </c>
      <c r="G8" s="138">
        <f>COUNTIFS(TEST_NYC_Coding!$B$5:$B$81,"State/Territory",TEST_NYC_Coding!$J$5:$J$81,"Not specified")</f>
        <v>0</v>
      </c>
      <c r="H8" s="138">
        <f t="shared" si="1"/>
        <v>4</v>
      </c>
      <c r="I8" s="29"/>
      <c r="J8" s="29" t="s">
        <v>1012</v>
      </c>
      <c r="K8" s="29">
        <f t="shared" si="2"/>
        <v>9</v>
      </c>
    </row>
    <row r="9" ht="16.5" customHeight="1">
      <c r="A9" s="137" t="s">
        <v>68</v>
      </c>
      <c r="B9" s="137" t="s">
        <v>472</v>
      </c>
      <c r="C9" s="138">
        <f>COUNTIFS(TEST_HK_Coding!$B$5:$B$44,"State/Territory",TEST_HK_Coding!$J$5:$J$44,"Prohibitive")</f>
        <v>0</v>
      </c>
      <c r="D9" s="138">
        <f>COUNTIFS(TEST_HK_Coding!$B$5:$B$44,"State/Territory",TEST_HK_Coding!$J$5:$J$44,"Cautious")</f>
        <v>2</v>
      </c>
      <c r="E9" s="138">
        <f>COUNTIFS(TEST_HK_Coding!$B$5:$B$44,"State/Territory",TEST_HK_Coding!$J$5:$J$44,"Functional")</f>
        <v>0</v>
      </c>
      <c r="F9" s="138">
        <f>COUNTIFS(TEST_HK_Coding!$B$5:$B$44,"State/Territory",TEST_HK_Coding!$J$5:$J$44,"Encouraging")</f>
        <v>5</v>
      </c>
      <c r="G9" s="138">
        <f>COUNTIFS(TEST_HK_Coding!$B$5:$B$44,"State/Territory",TEST_HK_Coding!$J$5:$J$44,"Not specified")</f>
        <v>0</v>
      </c>
      <c r="H9" s="138">
        <f t="shared" si="1"/>
        <v>7</v>
      </c>
      <c r="I9" s="29"/>
      <c r="J9" s="29"/>
      <c r="K9" s="29"/>
    </row>
    <row r="10" ht="16.5" customHeight="1">
      <c r="A10" s="140" t="s">
        <v>90</v>
      </c>
      <c r="B10" s="140" t="s">
        <v>24</v>
      </c>
      <c r="C10" s="141">
        <f>COUNTIFS(TEST_NYC_Coding!$B$5:$B$81,"Institutional",TEST_NYC_Coding!$J$5:$J$81,"Prohibitive")</f>
        <v>0</v>
      </c>
      <c r="D10" s="141">
        <f>COUNTIFS(TEST_NYC_Coding!$B$5:$B$81,"Institutional",TEST_NYC_Coding!$J$5:$J$81,"Cautious")</f>
        <v>1</v>
      </c>
      <c r="E10" s="141">
        <f>COUNTIFS(TEST_NYC_Coding!$B$5:$B$81,"Institutional",TEST_NYC_Coding!$J$5:$J$81,"Functional")</f>
        <v>3</v>
      </c>
      <c r="F10" s="141">
        <f>COUNTIFS(TEST_NYC_Coding!$B$5:$B$81,"Institutional",TEST_NYC_Coding!$J$5:$J$81,"Encouraging")</f>
        <v>1</v>
      </c>
      <c r="G10" s="141">
        <f>COUNTIFS(TEST_NYC_Coding!$B$5:$B$81,"Institutional",TEST_NYC_Coding!$J$5:$J$81,"Not specified")</f>
        <v>0</v>
      </c>
      <c r="H10" s="141">
        <f t="shared" si="1"/>
        <v>5</v>
      </c>
      <c r="I10" s="54"/>
      <c r="J10" s="54"/>
      <c r="K10" s="54"/>
    </row>
    <row r="11" ht="16.5" customHeight="1">
      <c r="A11" s="140" t="s">
        <v>90</v>
      </c>
      <c r="B11" s="140" t="s">
        <v>472</v>
      </c>
      <c r="C11" s="141">
        <f>COUNTIFS(TEST_HK_Coding!$B$5:$B$44,"Institutional",TEST_HK_Coding!$J$5:$J$44,"Prohibitive")</f>
        <v>0</v>
      </c>
      <c r="D11" s="141">
        <f>COUNTIFS(TEST_HK_Coding!$B$5:$B$44,"Institutional",TEST_HK_Coding!$J$5:$J$44,"Cautious")</f>
        <v>3</v>
      </c>
      <c r="E11" s="141">
        <f>COUNTIFS(TEST_HK_Coding!$B$5:$B$44,"Institutional",TEST_HK_Coding!$J$5:$J$44,"Functional")</f>
        <v>3</v>
      </c>
      <c r="F11" s="141">
        <f>COUNTIFS(TEST_HK_Coding!$B$5:$B$44,"Institutional",TEST_HK_Coding!$J$5:$J$44,"Encouraging")</f>
        <v>11</v>
      </c>
      <c r="G11" s="141">
        <f>COUNTIFS(TEST_HK_Coding!$B$5:$B$44,"Institutional",TEST_HK_Coding!$J$5:$J$44,"Not specified")</f>
        <v>0</v>
      </c>
      <c r="H11" s="141">
        <f t="shared" si="1"/>
        <v>17</v>
      </c>
      <c r="I11" s="54"/>
      <c r="J11" s="142" t="s">
        <v>1013</v>
      </c>
      <c r="K11" s="54"/>
    </row>
    <row r="12" ht="16.5" customHeight="1">
      <c r="A12" s="140" t="s">
        <v>114</v>
      </c>
      <c r="B12" s="140" t="s">
        <v>24</v>
      </c>
      <c r="C12" s="141">
        <f>COUNTIFS(TEST_NYC_Coding!$B$5:$B$81,"Faculty/School",TEST_NYC_Coding!$J$5:$J$81,"Prohibitive")</f>
        <v>0</v>
      </c>
      <c r="D12" s="141">
        <f>COUNTIFS(TEST_NYC_Coding!$B$5:$B$81,"Faculty/School",TEST_NYC_Coding!$J$5:$J$81,"Cautious")</f>
        <v>3</v>
      </c>
      <c r="E12" s="141">
        <f>COUNTIFS(TEST_NYC_Coding!$B$5:$B$81,"Faculty/School",TEST_NYC_Coding!$J$5:$J$81,"Functional")</f>
        <v>5</v>
      </c>
      <c r="F12" s="141">
        <f>COUNTIFS(TEST_NYC_Coding!$B$5:$B$81,"Faculty/School",TEST_NYC_Coding!$J$5:$J$81,"Encouraging")</f>
        <v>1</v>
      </c>
      <c r="G12" s="141">
        <f>COUNTIFS(TEST_NYC_Coding!$B$5:$B$81,"Faculty/School",TEST_NYC_Coding!$J$5:$J$81,"Not specified")</f>
        <v>0</v>
      </c>
      <c r="H12" s="141">
        <f t="shared" si="1"/>
        <v>9</v>
      </c>
      <c r="I12" s="54"/>
      <c r="J12" s="54" t="s">
        <v>24</v>
      </c>
      <c r="K12" s="54">
        <f t="shared" ref="K12:K13" si="3">H10+H12+H14</f>
        <v>31</v>
      </c>
    </row>
    <row r="13" ht="16.5" customHeight="1">
      <c r="A13" s="140" t="s">
        <v>114</v>
      </c>
      <c r="B13" s="140" t="s">
        <v>472</v>
      </c>
      <c r="C13" s="141">
        <f>COUNTIFS(TEST_HK_Coding!$B$5:$B$44,"Faculty/School",TEST_HK_Coding!$J$5:$J$44,"Prohibitive")</f>
        <v>0</v>
      </c>
      <c r="D13" s="141">
        <f>COUNTIFS(TEST_HK_Coding!$B$5:$B$44,"Faculty/School",TEST_HK_Coding!$J$5:$J$44,"Cautious")</f>
        <v>3</v>
      </c>
      <c r="E13" s="141">
        <f>COUNTIFS(TEST_HK_Coding!$B$5:$B$44,"Faculty/School",TEST_HK_Coding!$J$5:$J$44,"Functional")</f>
        <v>3</v>
      </c>
      <c r="F13" s="141">
        <f>COUNTIFS(TEST_HK_Coding!$B$5:$B$44,"Faculty/School",TEST_HK_Coding!$J$5:$J$44,"Encouraging")</f>
        <v>2</v>
      </c>
      <c r="G13" s="141">
        <f>COUNTIFS(TEST_HK_Coding!$B$5:$B$44,"Faculty/School",TEST_HK_Coding!$J$5:$J$44,"Not specified")</f>
        <v>0</v>
      </c>
      <c r="H13" s="141">
        <f t="shared" si="1"/>
        <v>8</v>
      </c>
      <c r="I13" s="54"/>
      <c r="J13" s="54" t="s">
        <v>1012</v>
      </c>
      <c r="K13" s="54">
        <f t="shared" si="3"/>
        <v>31</v>
      </c>
    </row>
    <row r="14" ht="16.5" customHeight="1">
      <c r="A14" s="140" t="s">
        <v>174</v>
      </c>
      <c r="B14" s="140" t="s">
        <v>24</v>
      </c>
      <c r="C14" s="141">
        <f>COUNTIFS(TEST_NYC_Coding!$B$5:$B$81,"Course-wide",TEST_NYC_Coding!$J$5:$J$81,"Prohibitive")</f>
        <v>3</v>
      </c>
      <c r="D14" s="141">
        <f>COUNTIFS(TEST_NYC_Coding!$B$5:$B$81,"Course-wide",TEST_NYC_Coding!$J$5:$J$81,"Cautious")</f>
        <v>3</v>
      </c>
      <c r="E14" s="141">
        <f>COUNTIFS(TEST_NYC_Coding!$B$5:$B$81,"Course-wide",TEST_NYC_Coding!$J$5:$J$81,"Functional")</f>
        <v>7</v>
      </c>
      <c r="F14" s="141">
        <f>COUNTIFS(TEST_NYC_Coding!$B$5:$B$81,"Course-wide",TEST_NYC_Coding!$J$5:$J$81,"Encouraging")</f>
        <v>4</v>
      </c>
      <c r="G14" s="141">
        <f>COUNTIFS(TEST_NYC_Coding!$B$5:$B$81,"Course-wide",TEST_NYC_Coding!$J$5:$J$81,"Not specified")</f>
        <v>0</v>
      </c>
      <c r="H14" s="141">
        <f t="shared" si="1"/>
        <v>17</v>
      </c>
      <c r="I14" s="54"/>
      <c r="J14" s="54"/>
      <c r="K14" s="54"/>
    </row>
    <row r="15" ht="16.5" customHeight="1">
      <c r="A15" s="140" t="s">
        <v>174</v>
      </c>
      <c r="B15" s="140" t="s">
        <v>472</v>
      </c>
      <c r="C15" s="141">
        <f>COUNTIFS(TEST_HK_Coding!$B$5:$B$44,"Course-wide",TEST_HK_Coding!$J$5:$J$44,"Prohibitive")</f>
        <v>0</v>
      </c>
      <c r="D15" s="141">
        <f>COUNTIFS(TEST_HK_Coding!$B$5:$B$44,"Course-wide",TEST_HK_Coding!$J$5:$J$44,"Cautious")</f>
        <v>1</v>
      </c>
      <c r="E15" s="141">
        <f>COUNTIFS(TEST_HK_Coding!$B$5:$B$44,"Course-wide",TEST_HK_Coding!$J$5:$J$44,"Functional")</f>
        <v>5</v>
      </c>
      <c r="F15" s="141">
        <f>COUNTIFS(TEST_HK_Coding!$B$5:$B$44,"Course-wide",TEST_HK_Coding!$J$5:$J$44,"Encouraging")</f>
        <v>0</v>
      </c>
      <c r="G15" s="141">
        <f>COUNTIFS(TEST_HK_Coding!$B$5:$B$44,"Course-wide",TEST_HK_Coding!$J$5:$J$44,"Not specified")</f>
        <v>0</v>
      </c>
      <c r="H15" s="141">
        <f t="shared" si="1"/>
        <v>6</v>
      </c>
      <c r="I15" s="54"/>
      <c r="J15" s="54"/>
      <c r="K15" s="54"/>
    </row>
    <row r="16" ht="16.5" customHeight="1">
      <c r="B16" s="18" t="s">
        <v>1017</v>
      </c>
      <c r="C16" s="18">
        <f t="shared" ref="C16:H16" si="4">SUM(C6:C15)</f>
        <v>3</v>
      </c>
      <c r="D16" s="18">
        <f t="shared" si="4"/>
        <v>22</v>
      </c>
      <c r="E16" s="18">
        <f t="shared" si="4"/>
        <v>27</v>
      </c>
      <c r="F16" s="18">
        <f t="shared" si="4"/>
        <v>28</v>
      </c>
      <c r="G16" s="18">
        <f t="shared" si="4"/>
        <v>0</v>
      </c>
      <c r="H16" s="18">
        <f t="shared" si="4"/>
        <v>80</v>
      </c>
    </row>
    <row r="17" ht="16.5" customHeight="1"/>
    <row r="18" ht="16.5" customHeight="1">
      <c r="A18" s="136" t="s">
        <v>1015</v>
      </c>
    </row>
    <row r="19" ht="16.5" customHeight="1">
      <c r="A19" s="7" t="s">
        <v>3</v>
      </c>
      <c r="B19" s="7" t="s">
        <v>82</v>
      </c>
      <c r="C19" s="7" t="s">
        <v>58</v>
      </c>
      <c r="D19" s="7" t="s">
        <v>102</v>
      </c>
      <c r="E19" s="7" t="s">
        <v>30</v>
      </c>
      <c r="F19" s="7" t="s">
        <v>1017</v>
      </c>
    </row>
    <row r="20" ht="16.5" customHeight="1">
      <c r="A20" s="143" t="s">
        <v>24</v>
      </c>
      <c r="B20" s="144">
        <f>COUNTIF(TEST_NYC_Coding!$K$5:$K$81,"Required")</f>
        <v>18</v>
      </c>
      <c r="C20" s="144">
        <f>COUNTIF(TEST_NYC_Coding!$K$5:$K$81,"Recommended")</f>
        <v>9</v>
      </c>
      <c r="D20" s="144">
        <f>COUNTIF(TEST_NYC_Coding!$K$5:$K$81,"Conditional")</f>
        <v>3</v>
      </c>
      <c r="E20" s="144">
        <f>COUNTIF(TEST_NYC_Coding!$K$5:$K$81,"Not specified")</f>
        <v>10</v>
      </c>
      <c r="F20" s="144">
        <f t="shared" ref="F20:F21" si="5">SUM(B20:E20)</f>
        <v>40</v>
      </c>
    </row>
    <row r="21" ht="16.5" customHeight="1">
      <c r="A21" s="143" t="s">
        <v>472</v>
      </c>
      <c r="B21" s="144">
        <f>COUNTIF(TEST_HK_Coding!$K$5:$K$44,"Required")</f>
        <v>12</v>
      </c>
      <c r="C21" s="144">
        <f>COUNTIF(TEST_HK_Coding!$K$5:$K$44,"Recommended")</f>
        <v>1</v>
      </c>
      <c r="D21" s="144">
        <f>COUNTIF(TEST_HK_Coding!$K$5:$K$44,"Conditional")</f>
        <v>2</v>
      </c>
      <c r="E21" s="144">
        <f>COUNTIF(TEST_HK_Coding!$K$5:$K$44,"Not specified")</f>
        <v>25</v>
      </c>
      <c r="F21" s="144">
        <f t="shared" si="5"/>
        <v>40</v>
      </c>
    </row>
    <row r="22" ht="16.5" customHeight="1">
      <c r="A22" s="18" t="s">
        <v>1017</v>
      </c>
      <c r="B22" s="18">
        <f t="shared" ref="B22:F22" si="6">SUM(B20:B21)</f>
        <v>30</v>
      </c>
      <c r="C22" s="18">
        <f t="shared" si="6"/>
        <v>10</v>
      </c>
      <c r="D22" s="18">
        <f t="shared" si="6"/>
        <v>5</v>
      </c>
      <c r="E22" s="18">
        <f t="shared" si="6"/>
        <v>35</v>
      </c>
      <c r="F22" s="18">
        <f t="shared" si="6"/>
        <v>80</v>
      </c>
    </row>
    <row r="23" ht="16.5" customHeight="1"/>
    <row r="24" ht="16.5" customHeight="1">
      <c r="A24" s="136" t="s">
        <v>1018</v>
      </c>
    </row>
    <row r="25" ht="16.5" customHeight="1">
      <c r="A25" s="7" t="s">
        <v>3</v>
      </c>
      <c r="B25" s="7" t="s">
        <v>31</v>
      </c>
      <c r="C25" s="7" t="s">
        <v>150</v>
      </c>
      <c r="D25" s="7" t="s">
        <v>103</v>
      </c>
      <c r="E25" s="7" t="s">
        <v>43</v>
      </c>
      <c r="F25" s="7" t="s">
        <v>30</v>
      </c>
      <c r="G25" s="7" t="s">
        <v>1017</v>
      </c>
    </row>
    <row r="26" ht="16.5" customHeight="1">
      <c r="A26" s="143" t="s">
        <v>24</v>
      </c>
      <c r="B26" s="144">
        <f>COUNTIF(TEST_NYC_Coding!$L$5:$L$81,"Gov-mandated")</f>
        <v>2</v>
      </c>
      <c r="C26" s="144">
        <f>COUNTIF(TEST_NYC_Coding!$L$5:$L$81,"Faculty/Inst. decides")</f>
        <v>1</v>
      </c>
      <c r="D26" s="144">
        <f>COUNTIF(TEST_NYC_Coding!$L$5:$L$81,"Instructor decides")</f>
        <v>27</v>
      </c>
      <c r="E26" s="144">
        <f>COUNTIF(TEST_NYC_Coding!$L$5:$L$81,"Hybrid/Mixed")</f>
        <v>6</v>
      </c>
      <c r="F26" s="144">
        <f>COUNTIF(TEST_NYC_Coding!$L$5:$L$81,"Not specified")</f>
        <v>4</v>
      </c>
      <c r="G26" s="144">
        <f t="shared" ref="G26:G27" si="7">SUM(B26:F26)</f>
        <v>40</v>
      </c>
    </row>
    <row r="27" ht="16.5" customHeight="1">
      <c r="A27" s="143" t="s">
        <v>472</v>
      </c>
      <c r="B27" s="144">
        <f>COUNTIF(TEST_HK_Coding!$L$5:$L$44,"Gov-mandated")</f>
        <v>4</v>
      </c>
      <c r="C27" s="144">
        <f>COUNTIF(TEST_HK_Coding!$L$5:$L$44,"Faculty/Inst. decides")</f>
        <v>11</v>
      </c>
      <c r="D27" s="144">
        <f>COUNTIF(TEST_HK_Coding!$L$5:$L$44,"Instructor decides")</f>
        <v>11</v>
      </c>
      <c r="E27" s="144">
        <f>COUNTIF(TEST_HK_Coding!$L$5:$L$44,"Hybrid/Mixed")</f>
        <v>1</v>
      </c>
      <c r="F27" s="144">
        <f>COUNTIF(TEST_HK_Coding!$L$5:$L$44,"Not specified")</f>
        <v>13</v>
      </c>
      <c r="G27" s="144">
        <f t="shared" si="7"/>
        <v>40</v>
      </c>
    </row>
    <row r="28" ht="16.5" customHeight="1">
      <c r="A28" s="18" t="s">
        <v>1017</v>
      </c>
      <c r="B28" s="18">
        <f t="shared" ref="B28:G28" si="8">SUM(B26:B27)</f>
        <v>6</v>
      </c>
      <c r="C28" s="18">
        <f t="shared" si="8"/>
        <v>12</v>
      </c>
      <c r="D28" s="18">
        <f t="shared" si="8"/>
        <v>38</v>
      </c>
      <c r="E28" s="18">
        <f t="shared" si="8"/>
        <v>7</v>
      </c>
      <c r="F28" s="18">
        <f t="shared" si="8"/>
        <v>17</v>
      </c>
      <c r="G28" s="18">
        <f t="shared" si="8"/>
        <v>80</v>
      </c>
    </row>
    <row r="29" ht="16.5" customHeight="1"/>
    <row r="30" ht="16.5" customHeight="1">
      <c r="A30" s="136" t="s">
        <v>1019</v>
      </c>
    </row>
    <row r="31" ht="16.5" customHeight="1">
      <c r="A31" s="7" t="s">
        <v>3</v>
      </c>
      <c r="B31" s="7" t="s">
        <v>96</v>
      </c>
      <c r="C31" s="7" t="s">
        <v>45</v>
      </c>
      <c r="D31" s="7" t="s">
        <v>44</v>
      </c>
      <c r="E31" s="7" t="s">
        <v>33</v>
      </c>
      <c r="F31" s="7" t="s">
        <v>32</v>
      </c>
      <c r="G31" s="7" t="s">
        <v>59</v>
      </c>
      <c r="H31" s="7" t="s">
        <v>1017</v>
      </c>
    </row>
    <row r="32" ht="16.5" customHeight="1">
      <c r="A32" s="143" t="s">
        <v>24</v>
      </c>
      <c r="B32" s="144">
        <f>COUNTIF(TEST_NYC_Coding!$M$5:$M$81,"Academic Integrity")</f>
        <v>11</v>
      </c>
      <c r="C32" s="144">
        <f>COUNTIF(TEST_NYC_Coding!$M$5:$M$81,"AI Literacy")</f>
        <v>5</v>
      </c>
      <c r="D32" s="144">
        <f>COUNTIF(TEST_NYC_Coding!$M$5:$M$81,"Pedagogy/Learning")</f>
        <v>13</v>
      </c>
      <c r="E32" s="144">
        <f>COUNTIF(TEST_NYC_Coding!$M$5:$M$81,"Professional Readiness")</f>
        <v>4</v>
      </c>
      <c r="F32" s="144">
        <f>COUNTIF(TEST_NYC_Coding!$M$5:$M$81,"Privacy/Data/Ethics")</f>
        <v>6</v>
      </c>
      <c r="G32" s="144">
        <f>COUNTIF(TEST_NYC_Coding!$M$5:$M$81,"Equity")</f>
        <v>1</v>
      </c>
      <c r="H32" s="144">
        <f t="shared" ref="H32:H33" si="9">SUM(B32:G32)</f>
        <v>40</v>
      </c>
    </row>
    <row r="33" ht="16.5" customHeight="1">
      <c r="A33" s="143" t="s">
        <v>472</v>
      </c>
      <c r="B33" s="144">
        <f>COUNTIF(TEST_HK_Coding!$M$5:$M$44,"Academic Integrity")</f>
        <v>15</v>
      </c>
      <c r="C33" s="144">
        <f>COUNTIF(TEST_HK_Coding!$M$5:$M$44,"AI Literacy")</f>
        <v>8</v>
      </c>
      <c r="D33" s="144">
        <f>COUNTIF(TEST_HK_Coding!$M$5:$M$44,"Pedagogy/Learning")</f>
        <v>12</v>
      </c>
      <c r="E33" s="144">
        <f>COUNTIF(TEST_HK_Coding!$M$5:$M$44,"Professional Readiness")</f>
        <v>2</v>
      </c>
      <c r="F33" s="144">
        <f>COUNTIF(TEST_HK_Coding!$M$5:$M$44,"Privacy/Data/Ethics")</f>
        <v>2</v>
      </c>
      <c r="G33" s="144">
        <f>COUNTIF(TEST_HK_Coding!$M$5:$M$44,"Equity")</f>
        <v>1</v>
      </c>
      <c r="H33" s="144">
        <f t="shared" si="9"/>
        <v>40</v>
      </c>
    </row>
    <row r="34" ht="16.5" customHeight="1">
      <c r="A34" s="18" t="s">
        <v>1017</v>
      </c>
      <c r="B34" s="18">
        <f t="shared" ref="B34:H34" si="10">SUM(B32:B33)</f>
        <v>26</v>
      </c>
      <c r="C34" s="18">
        <f t="shared" si="10"/>
        <v>13</v>
      </c>
      <c r="D34" s="18">
        <f t="shared" si="10"/>
        <v>25</v>
      </c>
      <c r="E34" s="18">
        <f t="shared" si="10"/>
        <v>6</v>
      </c>
      <c r="F34" s="18">
        <f t="shared" si="10"/>
        <v>8</v>
      </c>
      <c r="G34" s="18">
        <f t="shared" si="10"/>
        <v>2</v>
      </c>
      <c r="H34" s="18">
        <f t="shared" si="10"/>
        <v>80</v>
      </c>
    </row>
    <row r="35" ht="16.5" customHeight="1"/>
    <row r="36" ht="16.5" customHeight="1">
      <c r="A36" s="136" t="s">
        <v>1020</v>
      </c>
    </row>
    <row r="37" ht="16.5" customHeight="1">
      <c r="A37" s="7" t="s">
        <v>3</v>
      </c>
      <c r="B37" s="7" t="s">
        <v>1021</v>
      </c>
      <c r="C37" s="7" t="s">
        <v>1022</v>
      </c>
      <c r="D37" s="7" t="s">
        <v>1023</v>
      </c>
    </row>
    <row r="38" ht="16.5" customHeight="1">
      <c r="A38" s="143" t="s">
        <v>24</v>
      </c>
      <c r="B38" s="144">
        <f>COUNTA(TEST_NYC_Coding!$B$5:$B$81)</f>
        <v>40</v>
      </c>
      <c r="C38" s="144">
        <v>13.0</v>
      </c>
      <c r="D38" s="144" t="str">
        <f t="shared" ref="D38:D39" si="11">IF(B38&gt;=C38,"✓ Met","In progress")</f>
        <v>✓ Met</v>
      </c>
    </row>
    <row r="39" ht="16.5" customHeight="1">
      <c r="A39" s="143" t="s">
        <v>472</v>
      </c>
      <c r="B39" s="144">
        <f>COUNTA(TEST_HK_Coding!$B$5:$B$44)</f>
        <v>40</v>
      </c>
      <c r="C39" s="144">
        <v>13.0</v>
      </c>
      <c r="D39" s="144" t="str">
        <f t="shared" si="11"/>
        <v>✓ Met</v>
      </c>
    </row>
    <row r="40" ht="16.5" customHeight="1"/>
    <row r="41" ht="16.5" customHeight="1"/>
    <row r="42" ht="16.5" customHeight="1">
      <c r="A42" s="136" t="s">
        <v>1024</v>
      </c>
    </row>
    <row r="43" ht="16.5" customHeight="1">
      <c r="A43" s="7" t="s">
        <v>3</v>
      </c>
      <c r="B43" s="7" t="s">
        <v>278</v>
      </c>
      <c r="C43" s="7" t="s">
        <v>51</v>
      </c>
      <c r="D43" s="7" t="s">
        <v>27</v>
      </c>
      <c r="E43" s="7" t="s">
        <v>94</v>
      </c>
      <c r="F43" s="7" t="s">
        <v>121</v>
      </c>
      <c r="G43" s="7" t="s">
        <v>177</v>
      </c>
      <c r="H43" s="7" t="s">
        <v>132</v>
      </c>
      <c r="I43" s="7" t="s">
        <v>1025</v>
      </c>
      <c r="J43" s="7" t="s">
        <v>71</v>
      </c>
      <c r="K43" s="7" t="s">
        <v>1017</v>
      </c>
    </row>
    <row r="44" ht="16.5" customHeight="1">
      <c r="A44" s="143" t="s">
        <v>24</v>
      </c>
      <c r="B44" s="144">
        <f>COUNTIF(TEST_NYC_Coding!$G$5:$G$81,B43)</f>
        <v>0</v>
      </c>
      <c r="C44" s="144">
        <f>COUNTIF(TEST_NYC_Coding!$G$5:$G$81,C43)</f>
        <v>1</v>
      </c>
      <c r="D44" s="144">
        <f>COUNTIF(TEST_NYC_Coding!$G$5:$G$81,D43)</f>
        <v>7</v>
      </c>
      <c r="E44" s="144">
        <f>COUNTIF(TEST_NYC_Coding!$G$5:$G$81,E43)</f>
        <v>10</v>
      </c>
      <c r="F44" s="144">
        <f>COUNTIF(TEST_NYC_Coding!$G$5:$G$81,F43)</f>
        <v>1</v>
      </c>
      <c r="G44" s="144">
        <f>COUNTIF(TEST_NYC_Coding!$G$5:$G$81,G43)</f>
        <v>17</v>
      </c>
      <c r="H44" s="144">
        <f>COUNTIF(TEST_NYC_Coding!$G$5:$G$81,H43)</f>
        <v>3</v>
      </c>
      <c r="I44" s="144">
        <f>COUNTIF(TEST_NYC_Coding!$G$5:$G$81,I43)</f>
        <v>0</v>
      </c>
      <c r="J44" s="144">
        <f>COUNTIF(TEST_NYC_Coding!$G$5:$G$81,J43)</f>
        <v>1</v>
      </c>
      <c r="K44" s="18">
        <f t="shared" ref="K44:K45" si="12">SUM(B44:J44)</f>
        <v>40</v>
      </c>
    </row>
    <row r="45" ht="16.5" customHeight="1">
      <c r="A45" s="143" t="s">
        <v>472</v>
      </c>
      <c r="B45" s="144">
        <f>COUNTIF(TEST_HK_Coding!$G$5:$G$44,B43)</f>
        <v>1</v>
      </c>
      <c r="C45" s="144">
        <f>COUNTIF(TEST_HK_Coding!$G$5:$G$44,C43)</f>
        <v>0</v>
      </c>
      <c r="D45" s="144">
        <f>COUNTIF(TEST_HK_Coding!$G$5:$G$44,D43)</f>
        <v>10</v>
      </c>
      <c r="E45" s="144">
        <f>COUNTIF(TEST_HK_Coding!$G$5:$G$44,E43)</f>
        <v>10</v>
      </c>
      <c r="F45" s="144">
        <f>COUNTIF(TEST_HK_Coding!$G$5:$G$44,F43)</f>
        <v>2</v>
      </c>
      <c r="G45" s="144">
        <f>COUNTIF(TEST_HK_Coding!$G$5:$G$44,G43)</f>
        <v>7</v>
      </c>
      <c r="H45" s="144">
        <f>COUNTIF(TEST_HK_Coding!$G$5:$G$44,H43)</f>
        <v>7</v>
      </c>
      <c r="I45" s="144">
        <f>COUNTIF(TEST_HK_Coding!$G$5:$G$44,I43)</f>
        <v>0</v>
      </c>
      <c r="J45" s="144">
        <f>COUNTIF(TEST_HK_Coding!$G$5:$G$44,J43)</f>
        <v>3</v>
      </c>
      <c r="K45" s="18">
        <f t="shared" si="12"/>
        <v>40</v>
      </c>
    </row>
    <row r="46" ht="16.5" customHeight="1"/>
    <row r="47" ht="16.5" customHeight="1"/>
    <row r="48" ht="16.5" customHeight="1">
      <c r="A48" s="136" t="s">
        <v>1026</v>
      </c>
    </row>
    <row r="49" ht="16.5" customHeight="1">
      <c r="A49" s="7" t="s">
        <v>3</v>
      </c>
      <c r="B49" s="7" t="s">
        <v>110</v>
      </c>
      <c r="C49" s="7" t="s">
        <v>97</v>
      </c>
      <c r="D49" s="7" t="s">
        <v>34</v>
      </c>
      <c r="E49" s="7" t="s">
        <v>300</v>
      </c>
      <c r="F49" s="7" t="s">
        <v>1017</v>
      </c>
    </row>
    <row r="50" ht="16.5" customHeight="1">
      <c r="A50" s="143" t="s">
        <v>24</v>
      </c>
      <c r="B50" s="18">
        <f>COUNTIF(TEST_NYC_Coding!$O$5:$O$81,B49)</f>
        <v>8</v>
      </c>
      <c r="C50" s="18">
        <f>COUNTIF(TEST_NYC_Coding!$O$5:$O$81,C49)</f>
        <v>18</v>
      </c>
      <c r="D50" s="18">
        <f>COUNTIF(TEST_NYC_Coding!$O$5:$O$81,D49)</f>
        <v>14</v>
      </c>
      <c r="E50" s="18">
        <f>COUNTIF(TEST_NYC_Coding!$O$5:$O$81,E49)</f>
        <v>0</v>
      </c>
      <c r="F50" s="18">
        <f t="shared" ref="F50:F51" si="13">SUM(B50:E50)</f>
        <v>40</v>
      </c>
    </row>
    <row r="51" ht="16.5" customHeight="1">
      <c r="A51" s="143" t="s">
        <v>472</v>
      </c>
      <c r="B51" s="18">
        <f>COUNTIF(TEST_HK_Coding!$O$5:$O$44,B49)</f>
        <v>6</v>
      </c>
      <c r="C51" s="18">
        <f>COUNTIF(TEST_HK_Coding!$O$5:$O$44,C49)</f>
        <v>11</v>
      </c>
      <c r="D51" s="18">
        <f>COUNTIF(TEST_HK_Coding!$O$5:$O$44,D49)</f>
        <v>13</v>
      </c>
      <c r="E51" s="18">
        <f>COUNTIF(TEST_HK_Coding!$O$5:$O$44,E49)</f>
        <v>10</v>
      </c>
      <c r="F51" s="18">
        <f t="shared" si="13"/>
        <v>40</v>
      </c>
    </row>
    <row r="52" ht="16.5" customHeight="1"/>
    <row r="53" ht="16.5" customHeight="1"/>
    <row r="54" ht="16.5" customHeight="1">
      <c r="A54" s="136" t="s">
        <v>1027</v>
      </c>
    </row>
    <row r="55" ht="16.5" customHeight="1">
      <c r="A55" s="7" t="s">
        <v>3</v>
      </c>
      <c r="B55" s="7" t="s">
        <v>151</v>
      </c>
      <c r="C55" s="7" t="s">
        <v>111</v>
      </c>
      <c r="D55" s="7" t="s">
        <v>46</v>
      </c>
      <c r="E55" s="7" t="s">
        <v>503</v>
      </c>
      <c r="F55" s="7" t="s">
        <v>35</v>
      </c>
      <c r="G55" s="7" t="s">
        <v>1017</v>
      </c>
    </row>
    <row r="56" ht="16.5" customHeight="1">
      <c r="A56" s="143" t="s">
        <v>24</v>
      </c>
      <c r="B56" s="18">
        <f>COUNTIF(TEST_NYC_Coding!$P$5:$P$81,B55)</f>
        <v>18</v>
      </c>
      <c r="C56" s="18">
        <f>COUNTIF(TEST_NYC_Coding!$P$5:$P$81,C55)</f>
        <v>4</v>
      </c>
      <c r="D56" s="18">
        <f>COUNTIF(TEST_NYC_Coding!$P$5:$P$81,D55)</f>
        <v>10</v>
      </c>
      <c r="E56" s="18">
        <f>COUNTIF(TEST_NYC_Coding!$P$5:$P$81,E55)</f>
        <v>0</v>
      </c>
      <c r="F56" s="18">
        <f>COUNTIF(TEST_NYC_Coding!$P$5:$P$81,F55)</f>
        <v>8</v>
      </c>
      <c r="G56" s="18">
        <f t="shared" ref="G56:G57" si="14">SUM(B56:F56)</f>
        <v>40</v>
      </c>
    </row>
    <row r="57" ht="16.5" customHeight="1">
      <c r="A57" s="143" t="s">
        <v>472</v>
      </c>
      <c r="B57" s="18">
        <f>COUNTIF(TEST_HK_Coding!$P$5:$P$44,B55)</f>
        <v>13</v>
      </c>
      <c r="C57" s="18">
        <f>COUNTIF(TEST_HK_Coding!$P$5:$P$44,C55)</f>
        <v>0</v>
      </c>
      <c r="D57" s="18">
        <f>COUNTIF(TEST_HK_Coding!$P$5:$P$44,D55)</f>
        <v>16</v>
      </c>
      <c r="E57" s="18">
        <f>COUNTIF(TEST_HK_Coding!$P$5:$P$44,E55)</f>
        <v>4</v>
      </c>
      <c r="F57" s="18">
        <f>COUNTIF(TEST_HK_Coding!$P$5:$P$44,F55)</f>
        <v>7</v>
      </c>
      <c r="G57" s="18">
        <f t="shared" si="14"/>
        <v>40</v>
      </c>
    </row>
    <row r="58" ht="16.5" customHeight="1"/>
    <row r="59" ht="16.5" customHeight="1"/>
    <row r="60" ht="16.5" customHeight="1">
      <c r="A60" s="18" t="s">
        <v>1013</v>
      </c>
      <c r="C60" s="18" t="s">
        <v>12</v>
      </c>
    </row>
    <row r="61" ht="16.5" customHeight="1">
      <c r="A61" s="7" t="s">
        <v>2</v>
      </c>
      <c r="B61" s="7" t="s">
        <v>3</v>
      </c>
      <c r="C61" s="7" t="s">
        <v>31</v>
      </c>
      <c r="D61" s="7" t="s">
        <v>150</v>
      </c>
      <c r="E61" s="7" t="s">
        <v>103</v>
      </c>
      <c r="F61" s="7" t="s">
        <v>43</v>
      </c>
      <c r="G61" s="7" t="s">
        <v>30</v>
      </c>
      <c r="H61" s="7" t="s">
        <v>1017</v>
      </c>
      <c r="I61" s="82"/>
    </row>
    <row r="62" ht="16.5" customHeight="1">
      <c r="A62" s="140" t="s">
        <v>90</v>
      </c>
      <c r="B62" s="140" t="s">
        <v>24</v>
      </c>
      <c r="C62" s="141">
        <f>COUNTIFS(TEST_NYC_Coding!$B$5:$B$81,"Institutional",TEST_NYC_Coding!$L$5:$L$81,C61)</f>
        <v>0</v>
      </c>
      <c r="D62" s="141">
        <f>COUNTIFS(TEST_NYC_Coding!$B$5:$B$81,"Institutional",TEST_NYC_Coding!$L$5:$L$81,D61)</f>
        <v>0</v>
      </c>
      <c r="E62" s="141">
        <f>COUNTIFS(TEST_NYC_Coding!$B$5:$B$81,"Institutional",TEST_NYC_Coding!$L$5:$L$81,E61)</f>
        <v>3</v>
      </c>
      <c r="F62" s="141">
        <f>COUNTIFS(TEST_NYC_Coding!$B$5:$B$81,"Institutional",TEST_NYC_Coding!$L$5:$L$81,F61)</f>
        <v>1</v>
      </c>
      <c r="G62" s="141">
        <f>COUNTIFS(TEST_NYC_Coding!$B$5:$B$81,"Institutional",TEST_NYC_Coding!$L$5:$L$81,G61)</f>
        <v>1</v>
      </c>
      <c r="H62" s="141">
        <f t="shared" ref="H62:H67" si="15">SUM(C62:G62)</f>
        <v>5</v>
      </c>
    </row>
    <row r="63" ht="16.5" customHeight="1">
      <c r="A63" s="140" t="s">
        <v>90</v>
      </c>
      <c r="B63" s="140" t="s">
        <v>472</v>
      </c>
      <c r="C63" s="141">
        <f>COUNTIFS(TEST_HK_Coding!$B$5:$B$44,"Institutional",TEST_HK_Coding!$L$5:$L$44,C61)</f>
        <v>0</v>
      </c>
      <c r="D63" s="141">
        <f>COUNTIFS(TEST_HK_Coding!$B$5:$B$44,"Institutional",TEST_HK_Coding!$L$5:$L$44,D61)</f>
        <v>4</v>
      </c>
      <c r="E63" s="141">
        <f>COUNTIFS(TEST_HK_Coding!$B$5:$B$44,"Institutional",TEST_HK_Coding!$L$5:$L$44,E61)</f>
        <v>7</v>
      </c>
      <c r="F63" s="141">
        <f>COUNTIFS(TEST_HK_Coding!$B$5:$B$44,"Institutional",TEST_HK_Coding!$L$5:$L$44,F61)</f>
        <v>0</v>
      </c>
      <c r="G63" s="141">
        <f>COUNTIFS(TEST_HK_Coding!$B$5:$B$44,"Institutional",TEST_HK_Coding!$L$5:$L$44,G61)</f>
        <v>6</v>
      </c>
      <c r="H63" s="141">
        <f t="shared" si="15"/>
        <v>17</v>
      </c>
    </row>
    <row r="64" ht="16.5" customHeight="1">
      <c r="A64" s="140" t="s">
        <v>114</v>
      </c>
      <c r="B64" s="140" t="s">
        <v>24</v>
      </c>
      <c r="C64" s="141">
        <f>COUNTIFS(TEST_NYC_Coding!$B$5:$B$81,"Faculty/School",TEST_NYC_Coding!$L$5:$L$81,C61)</f>
        <v>0</v>
      </c>
      <c r="D64" s="141">
        <f>COUNTIFS(TEST_NYC_Coding!$B$5:$B$81,"Faculty/School",TEST_NYC_Coding!$L$5:$L$81,D61)</f>
        <v>1</v>
      </c>
      <c r="E64" s="141">
        <f>COUNTIFS(TEST_NYC_Coding!$B$5:$B$81,"Faculty/School",TEST_NYC_Coding!$L$5:$L$81,E61)</f>
        <v>8</v>
      </c>
      <c r="F64" s="141">
        <f>COUNTIFS(TEST_NYC_Coding!$B$5:$B$81,"Faculty/School",TEST_NYC_Coding!$L$5:$L$81,F61)</f>
        <v>0</v>
      </c>
      <c r="G64" s="141">
        <f>COUNTIFS(TEST_NYC_Coding!$B$5:$B$81,"Faculty/School",TEST_NYC_Coding!$L$5:$L$81,G61)</f>
        <v>0</v>
      </c>
      <c r="H64" s="141">
        <f t="shared" si="15"/>
        <v>9</v>
      </c>
    </row>
    <row r="65" ht="16.5" customHeight="1">
      <c r="A65" s="140" t="s">
        <v>114</v>
      </c>
      <c r="B65" s="140" t="s">
        <v>472</v>
      </c>
      <c r="C65" s="141">
        <f>COUNTIFS(TEST_HK_Coding!$B$5:$B$44,"Faculty/School",TEST_HK_Coding!$L$5:$L$44,C61)</f>
        <v>0</v>
      </c>
      <c r="D65" s="141">
        <f>COUNTIFS(TEST_HK_Coding!$B$5:$B$44,"Faculty/School",TEST_HK_Coding!$L$5:$L$44,D61)</f>
        <v>4</v>
      </c>
      <c r="E65" s="141">
        <f>COUNTIFS(TEST_HK_Coding!$B$5:$B$44,"Faculty/School",TEST_HK_Coding!$L$5:$L$44,E61)</f>
        <v>2</v>
      </c>
      <c r="F65" s="141">
        <f>COUNTIFS(TEST_HK_Coding!$B$5:$B$44,"Faculty/School",TEST_HK_Coding!$L$5:$L$44,F61)</f>
        <v>1</v>
      </c>
      <c r="G65" s="141">
        <f>COUNTIFS(TEST_HK_Coding!$B$5:$B$44,"Faculty/School",TEST_HK_Coding!$L$5:$L$44,G61)</f>
        <v>1</v>
      </c>
      <c r="H65" s="141">
        <f t="shared" si="15"/>
        <v>8</v>
      </c>
    </row>
    <row r="66" ht="16.5" customHeight="1">
      <c r="A66" s="140" t="s">
        <v>174</v>
      </c>
      <c r="B66" s="140" t="s">
        <v>24</v>
      </c>
      <c r="C66" s="141">
        <f>COUNTIFS(TEST_NYC_Coding!$B$5:$B$81,"Course-wide",TEST_NYC_Coding!$L$5:$L$81,C61)</f>
        <v>0</v>
      </c>
      <c r="D66" s="141">
        <f>COUNTIFS(TEST_NYC_Coding!$B$5:$B$81,"Course-wide",TEST_NYC_Coding!$L$5:$L$81,D61)</f>
        <v>0</v>
      </c>
      <c r="E66" s="141">
        <f>COUNTIFS(TEST_NYC_Coding!$B$5:$B$81,"Course-wide",TEST_NYC_Coding!$L$5:$L$81,E61)</f>
        <v>16</v>
      </c>
      <c r="F66" s="141">
        <f>COUNTIFS(TEST_NYC_Coding!$B$5:$B$81,"Course-wide",TEST_NYC_Coding!$L$5:$L$81,F61)</f>
        <v>1</v>
      </c>
      <c r="G66" s="141">
        <f>COUNTIFS(TEST_NYC_Coding!$B$5:$B$81,"Course-wide",TEST_NYC_Coding!$L$5:$L$81,G61)</f>
        <v>0</v>
      </c>
      <c r="H66" s="141">
        <f t="shared" si="15"/>
        <v>17</v>
      </c>
    </row>
    <row r="67" ht="16.5" customHeight="1">
      <c r="A67" s="140" t="s">
        <v>174</v>
      </c>
      <c r="B67" s="140" t="s">
        <v>472</v>
      </c>
      <c r="C67" s="141">
        <f>COUNTIFS(TEST_HK_Coding!$B$5:$B$44,"Course-wide",TEST_HK_Coding!$L$5:$L$44,C61)</f>
        <v>0</v>
      </c>
      <c r="D67" s="141">
        <f>COUNTIFS(TEST_HK_Coding!$B$5:$B$44,"Course-wide",TEST_HK_Coding!$L$5:$L$44,D61)</f>
        <v>3</v>
      </c>
      <c r="E67" s="141">
        <f>COUNTIFS(TEST_HK_Coding!$B$5:$B$44,"Course-wide",TEST_HK_Coding!$L$5:$L$44,E61)</f>
        <v>2</v>
      </c>
      <c r="F67" s="141">
        <f>COUNTIFS(TEST_HK_Coding!$B$5:$B$44,"Course-wide",TEST_HK_Coding!$L$5:$L$44,F61)</f>
        <v>0</v>
      </c>
      <c r="G67" s="141">
        <f>COUNTIFS(TEST_HK_Coding!$B$5:$B$44,"Course-wide",TEST_HK_Coding!$L$5:$L$44,G61)</f>
        <v>1</v>
      </c>
      <c r="H67" s="141">
        <f t="shared" si="15"/>
        <v>6</v>
      </c>
    </row>
    <row r="68" ht="16.5" customHeight="1">
      <c r="B68" s="18" t="s">
        <v>1017</v>
      </c>
      <c r="C68" s="18">
        <f t="shared" ref="C68:H68" si="16">SUM(C62:C67)</f>
        <v>0</v>
      </c>
      <c r="D68" s="18">
        <f t="shared" si="16"/>
        <v>12</v>
      </c>
      <c r="E68" s="18">
        <f t="shared" si="16"/>
        <v>38</v>
      </c>
      <c r="F68" s="18">
        <f t="shared" si="16"/>
        <v>3</v>
      </c>
      <c r="G68" s="18">
        <f t="shared" si="16"/>
        <v>9</v>
      </c>
      <c r="H68" s="18">
        <f t="shared" si="16"/>
        <v>62</v>
      </c>
    </row>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row r="1002" ht="16.5" customHeight="1"/>
  </sheetData>
  <mergeCells count="10">
    <mergeCell ref="A42:H42"/>
    <mergeCell ref="A48:H48"/>
    <mergeCell ref="A54:H54"/>
    <mergeCell ref="A1:H1"/>
    <mergeCell ref="A2:H2"/>
    <mergeCell ref="A4:H4"/>
    <mergeCell ref="A18:H18"/>
    <mergeCell ref="A24:H24"/>
    <mergeCell ref="A30:H30"/>
    <mergeCell ref="A36:H36"/>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12.14"/>
    <col customWidth="1" min="5" max="5" width="16.43"/>
    <col customWidth="1" min="7" max="7" width="17.43"/>
  </cols>
  <sheetData>
    <row r="1">
      <c r="A1" s="116" t="s">
        <v>3</v>
      </c>
      <c r="B1" s="116" t="s">
        <v>5</v>
      </c>
      <c r="C1" s="116" t="s">
        <v>1029</v>
      </c>
      <c r="D1" s="116" t="s">
        <v>1030</v>
      </c>
      <c r="E1" s="116" t="s">
        <v>1031</v>
      </c>
    </row>
    <row r="2">
      <c r="A2" s="54" t="s">
        <v>24</v>
      </c>
      <c r="B2" s="54" t="s">
        <v>92</v>
      </c>
      <c r="C2" s="54">
        <v>38.0</v>
      </c>
      <c r="D2" s="54" t="s">
        <v>1032</v>
      </c>
      <c r="E2" s="54">
        <v>8194.0</v>
      </c>
    </row>
    <row r="3">
      <c r="A3" s="54" t="s">
        <v>24</v>
      </c>
      <c r="B3" s="54" t="s">
        <v>107</v>
      </c>
      <c r="C3" s="54">
        <v>55.0</v>
      </c>
      <c r="D3" s="54" t="s">
        <v>1032</v>
      </c>
      <c r="E3" s="54">
        <v>7538.0</v>
      </c>
    </row>
    <row r="4">
      <c r="A4" s="54" t="s">
        <v>24</v>
      </c>
      <c r="B4" s="54" t="s">
        <v>137</v>
      </c>
      <c r="C4" s="54">
        <v>613.0</v>
      </c>
      <c r="D4" s="54" t="s">
        <v>1032</v>
      </c>
      <c r="E4" s="54">
        <v>7782.0</v>
      </c>
    </row>
    <row r="5">
      <c r="A5" s="146" t="s">
        <v>1012</v>
      </c>
      <c r="B5" s="146" t="s">
        <v>523</v>
      </c>
      <c r="C5" s="146">
        <v>11.0</v>
      </c>
      <c r="D5" s="146" t="s">
        <v>1033</v>
      </c>
      <c r="E5" s="146">
        <v>2608.0</v>
      </c>
    </row>
    <row r="6">
      <c r="A6" s="146" t="s">
        <v>1012</v>
      </c>
      <c r="B6" s="146" t="s">
        <v>627</v>
      </c>
      <c r="C6" s="146">
        <v>54.0</v>
      </c>
      <c r="D6" s="146" t="s">
        <v>1033</v>
      </c>
      <c r="E6" s="146">
        <v>2745.0</v>
      </c>
    </row>
    <row r="7">
      <c r="A7" s="146" t="s">
        <v>1012</v>
      </c>
      <c r="B7" s="146" t="s">
        <v>578</v>
      </c>
      <c r="C7" s="146">
        <v>701.0</v>
      </c>
      <c r="D7" s="146" t="s">
        <v>1034</v>
      </c>
      <c r="E7" s="146">
        <v>312.0</v>
      </c>
      <c r="F7" s="18" t="s">
        <v>1035</v>
      </c>
    </row>
    <row r="14">
      <c r="A14" s="147"/>
      <c r="B14" s="147"/>
      <c r="C14" s="147"/>
      <c r="D14" s="147"/>
      <c r="E14" s="147"/>
      <c r="F14" s="147"/>
      <c r="G14" s="147"/>
      <c r="H14" s="147"/>
      <c r="I14" s="147"/>
    </row>
    <row r="15">
      <c r="A15" s="148" t="s">
        <v>3</v>
      </c>
      <c r="B15" s="148" t="s">
        <v>5</v>
      </c>
      <c r="C15" s="148" t="s">
        <v>1029</v>
      </c>
      <c r="D15" s="148" t="s">
        <v>1030</v>
      </c>
      <c r="E15" s="148" t="s">
        <v>1031</v>
      </c>
      <c r="F15" s="148" t="s">
        <v>1036</v>
      </c>
      <c r="G15" s="148" t="s">
        <v>1037</v>
      </c>
      <c r="H15" s="148" t="s">
        <v>1038</v>
      </c>
      <c r="I15" s="147"/>
    </row>
    <row r="16">
      <c r="A16" s="147" t="s">
        <v>24</v>
      </c>
      <c r="B16" s="147" t="s">
        <v>92</v>
      </c>
      <c r="C16" s="147">
        <v>38.0</v>
      </c>
      <c r="D16" s="147" t="s">
        <v>1032</v>
      </c>
      <c r="E16" s="147">
        <v>8194.0</v>
      </c>
      <c r="F16" s="147">
        <v>6.0</v>
      </c>
      <c r="G16" s="147">
        <v>6.0</v>
      </c>
      <c r="H16" s="149">
        <f t="shared" ref="H16:H21" si="1">G16/F16</f>
        <v>1</v>
      </c>
      <c r="I16" s="147"/>
    </row>
    <row r="17">
      <c r="A17" s="147" t="s">
        <v>24</v>
      </c>
      <c r="B17" s="147" t="s">
        <v>107</v>
      </c>
      <c r="C17" s="147">
        <v>55.0</v>
      </c>
      <c r="D17" s="147" t="s">
        <v>1032</v>
      </c>
      <c r="E17" s="147">
        <v>7538.0</v>
      </c>
      <c r="F17" s="147">
        <v>6.0</v>
      </c>
      <c r="G17" s="147">
        <v>6.0</v>
      </c>
      <c r="H17" s="149">
        <f t="shared" si="1"/>
        <v>1</v>
      </c>
      <c r="I17" s="147"/>
    </row>
    <row r="18">
      <c r="A18" s="147" t="s">
        <v>24</v>
      </c>
      <c r="B18" s="147" t="s">
        <v>137</v>
      </c>
      <c r="C18" s="147">
        <v>613.0</v>
      </c>
      <c r="D18" s="147" t="s">
        <v>1032</v>
      </c>
      <c r="E18" s="147">
        <v>7782.0</v>
      </c>
      <c r="F18" s="147">
        <v>5.0</v>
      </c>
      <c r="G18" s="147">
        <v>5.0</v>
      </c>
      <c r="H18" s="149">
        <f t="shared" si="1"/>
        <v>1</v>
      </c>
      <c r="I18" s="147"/>
    </row>
    <row r="19">
      <c r="A19" s="147" t="s">
        <v>1012</v>
      </c>
      <c r="B19" s="147" t="s">
        <v>523</v>
      </c>
      <c r="C19" s="147">
        <v>11.0</v>
      </c>
      <c r="D19" s="147" t="s">
        <v>1033</v>
      </c>
      <c r="E19" s="147">
        <v>2608.0</v>
      </c>
      <c r="F19" s="147">
        <v>4.0</v>
      </c>
      <c r="G19" s="147">
        <v>3.0</v>
      </c>
      <c r="H19" s="149">
        <f t="shared" si="1"/>
        <v>0.75</v>
      </c>
      <c r="I19" s="147"/>
    </row>
    <row r="20">
      <c r="A20" s="147" t="s">
        <v>1012</v>
      </c>
      <c r="B20" s="147" t="s">
        <v>627</v>
      </c>
      <c r="C20" s="147">
        <v>54.0</v>
      </c>
      <c r="D20" s="147" t="s">
        <v>1033</v>
      </c>
      <c r="E20" s="147">
        <v>2745.0</v>
      </c>
      <c r="F20" s="147">
        <v>6.0</v>
      </c>
      <c r="G20" s="147">
        <v>1.0</v>
      </c>
      <c r="H20" s="149">
        <f t="shared" si="1"/>
        <v>0.1666666667</v>
      </c>
      <c r="I20" s="147"/>
    </row>
    <row r="21">
      <c r="A21" s="147" t="s">
        <v>1012</v>
      </c>
      <c r="B21" s="147" t="s">
        <v>578</v>
      </c>
      <c r="C21" s="147">
        <v>701.0</v>
      </c>
      <c r="D21" s="147" t="s">
        <v>1034</v>
      </c>
      <c r="E21" s="147">
        <v>312.0</v>
      </c>
      <c r="F21" s="147">
        <v>5.0</v>
      </c>
      <c r="G21" s="147">
        <v>3.0</v>
      </c>
      <c r="H21" s="149">
        <f t="shared" si="1"/>
        <v>0.6</v>
      </c>
      <c r="I21" s="147" t="s">
        <v>1035</v>
      </c>
    </row>
    <row r="22">
      <c r="A22" s="147"/>
      <c r="B22" s="147"/>
      <c r="C22" s="147"/>
      <c r="D22" s="147"/>
      <c r="E22" s="147"/>
      <c r="F22" s="147"/>
      <c r="G22" s="147"/>
      <c r="H22" s="147"/>
      <c r="I22" s="147"/>
    </row>
    <row r="23">
      <c r="A23" s="147"/>
      <c r="B23" s="147"/>
      <c r="C23" s="147"/>
      <c r="D23" s="147"/>
      <c r="E23" s="147"/>
      <c r="F23" s="147"/>
      <c r="G23" s="147"/>
      <c r="H23" s="147"/>
      <c r="I23" s="147"/>
    </row>
    <row r="24">
      <c r="A24" s="147"/>
      <c r="B24" s="147"/>
      <c r="C24" s="147"/>
      <c r="D24" s="147"/>
      <c r="E24" s="147"/>
      <c r="F24" s="147"/>
      <c r="G24" s="147"/>
      <c r="H24" s="147"/>
      <c r="I24" s="14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4">
      <c r="A14" s="150" t="s">
        <v>1039</v>
      </c>
    </row>
    <row r="15">
      <c r="A15" s="151"/>
      <c r="B15" s="151" t="s">
        <v>174</v>
      </c>
      <c r="C15" s="151" t="s">
        <v>24</v>
      </c>
      <c r="D15" s="151" t="s">
        <v>1040</v>
      </c>
      <c r="E15" s="151" t="s">
        <v>1041</v>
      </c>
      <c r="F15" s="151" t="s">
        <v>1025</v>
      </c>
      <c r="G15" s="152"/>
      <c r="H15" s="153" t="s">
        <v>1042</v>
      </c>
      <c r="I15" s="152"/>
      <c r="J15" s="152"/>
      <c r="K15" s="152"/>
      <c r="L15" s="152"/>
      <c r="M15" s="152"/>
      <c r="N15" s="152"/>
      <c r="O15" s="152"/>
      <c r="P15" s="152"/>
      <c r="Q15" s="152"/>
      <c r="R15" s="152"/>
      <c r="S15" s="152"/>
      <c r="T15" s="154"/>
      <c r="U15" s="154"/>
      <c r="V15" s="154"/>
      <c r="W15" s="154"/>
      <c r="X15" s="154"/>
      <c r="Y15" s="154"/>
      <c r="Z15" s="154"/>
    </row>
    <row r="16">
      <c r="A16" s="151"/>
      <c r="B16" s="151" t="s">
        <v>174</v>
      </c>
      <c r="C16" s="151" t="s">
        <v>24</v>
      </c>
      <c r="D16" s="151" t="s">
        <v>1043</v>
      </c>
      <c r="E16" s="151" t="s">
        <v>1044</v>
      </c>
      <c r="F16" s="151" t="s">
        <v>1025</v>
      </c>
      <c r="G16" s="152"/>
      <c r="H16" s="153" t="s">
        <v>1045</v>
      </c>
      <c r="I16" s="152"/>
      <c r="J16" s="152"/>
      <c r="K16" s="152"/>
      <c r="L16" s="152"/>
      <c r="M16" s="152"/>
      <c r="N16" s="152"/>
      <c r="O16" s="152"/>
      <c r="P16" s="152"/>
      <c r="Q16" s="152"/>
      <c r="R16" s="152"/>
      <c r="S16" s="152"/>
      <c r="T16" s="154"/>
      <c r="U16" s="154"/>
      <c r="V16" s="154"/>
      <c r="W16" s="154"/>
      <c r="X16" s="154"/>
      <c r="Y16" s="154"/>
      <c r="Z16" s="154"/>
    </row>
    <row r="17">
      <c r="A17" s="151"/>
      <c r="B17" s="151" t="s">
        <v>174</v>
      </c>
      <c r="C17" s="151" t="s">
        <v>24</v>
      </c>
      <c r="D17" s="151" t="s">
        <v>1043</v>
      </c>
      <c r="E17" s="151" t="s">
        <v>1044</v>
      </c>
      <c r="F17" s="151" t="s">
        <v>1025</v>
      </c>
      <c r="G17" s="152"/>
      <c r="H17" s="153" t="s">
        <v>1046</v>
      </c>
      <c r="I17" s="152"/>
      <c r="J17" s="152"/>
      <c r="K17" s="152"/>
      <c r="L17" s="152"/>
      <c r="M17" s="152"/>
      <c r="N17" s="152"/>
      <c r="O17" s="152"/>
      <c r="P17" s="152"/>
      <c r="Q17" s="152"/>
      <c r="R17" s="152"/>
      <c r="S17" s="152"/>
      <c r="T17" s="154"/>
      <c r="U17" s="154"/>
      <c r="V17" s="154"/>
      <c r="W17" s="154"/>
      <c r="X17" s="154"/>
      <c r="Y17" s="154"/>
      <c r="Z17" s="154"/>
    </row>
    <row r="25">
      <c r="A25" s="150" t="s">
        <v>1012</v>
      </c>
    </row>
    <row r="26" ht="16.5" customHeight="1">
      <c r="A26" s="10"/>
      <c r="B26" s="10" t="s">
        <v>90</v>
      </c>
      <c r="C26" s="10" t="s">
        <v>472</v>
      </c>
      <c r="D26" s="10" t="s">
        <v>1047</v>
      </c>
      <c r="E26" s="10" t="s">
        <v>1048</v>
      </c>
      <c r="F26" s="10" t="s">
        <v>94</v>
      </c>
      <c r="G26" s="10"/>
      <c r="H26" s="12" t="s">
        <v>1049</v>
      </c>
      <c r="J26" s="62"/>
      <c r="K26" s="62"/>
      <c r="L26" s="62"/>
      <c r="M26" s="62"/>
      <c r="N26" s="62"/>
      <c r="O26" s="62"/>
      <c r="P26" s="62"/>
      <c r="Q26" s="62"/>
      <c r="R26" s="62"/>
      <c r="S26" s="62"/>
      <c r="T26" s="62"/>
      <c r="U26" s="62"/>
      <c r="V26" s="62"/>
      <c r="W26" s="62"/>
      <c r="X26" s="62"/>
      <c r="Y26" s="62"/>
      <c r="Z26" s="62"/>
    </row>
    <row r="27" ht="16.5" customHeight="1">
      <c r="A27" s="10"/>
      <c r="B27" s="10" t="s">
        <v>90</v>
      </c>
      <c r="C27" s="10" t="s">
        <v>472</v>
      </c>
      <c r="D27" s="10" t="s">
        <v>1050</v>
      </c>
      <c r="E27" s="10" t="s">
        <v>1051</v>
      </c>
      <c r="F27" s="10" t="s">
        <v>94</v>
      </c>
      <c r="G27" s="10"/>
      <c r="H27" s="10" t="s">
        <v>1052</v>
      </c>
      <c r="I27" s="62"/>
      <c r="J27" s="62"/>
      <c r="K27" s="62"/>
      <c r="L27" s="62"/>
      <c r="M27" s="62"/>
      <c r="N27" s="62"/>
      <c r="O27" s="62"/>
      <c r="P27" s="62"/>
      <c r="Q27" s="62"/>
      <c r="R27" s="62"/>
      <c r="S27" s="62"/>
      <c r="T27" s="62"/>
      <c r="U27" s="62"/>
      <c r="V27" s="62"/>
      <c r="W27" s="62"/>
      <c r="X27" s="62"/>
      <c r="Y27" s="62"/>
      <c r="Z27" s="62"/>
    </row>
    <row r="28" ht="16.5" customHeight="1">
      <c r="A28" s="62"/>
      <c r="B28" s="10" t="s">
        <v>90</v>
      </c>
      <c r="C28" s="10" t="s">
        <v>472</v>
      </c>
      <c r="D28" s="10" t="s">
        <v>1053</v>
      </c>
      <c r="E28" s="10" t="s">
        <v>1054</v>
      </c>
      <c r="F28" s="10" t="s">
        <v>94</v>
      </c>
      <c r="G28" s="10"/>
      <c r="H28" s="12" t="s">
        <v>1055</v>
      </c>
      <c r="I28" s="62"/>
      <c r="J28" s="62"/>
      <c r="K28" s="62"/>
      <c r="L28" s="62"/>
      <c r="M28" s="62"/>
      <c r="N28" s="62"/>
      <c r="O28" s="62"/>
      <c r="P28" s="62"/>
      <c r="Q28" s="62"/>
      <c r="R28" s="62"/>
      <c r="S28" s="62"/>
      <c r="T28" s="62"/>
      <c r="U28" s="62"/>
      <c r="V28" s="62"/>
      <c r="W28" s="62"/>
      <c r="X28" s="62"/>
      <c r="Y28" s="62"/>
      <c r="Z28" s="62"/>
    </row>
    <row r="29" ht="16.5" customHeight="1">
      <c r="A29" s="62"/>
      <c r="B29" s="10" t="s">
        <v>90</v>
      </c>
      <c r="C29" s="10" t="s">
        <v>472</v>
      </c>
      <c r="D29" s="10" t="s">
        <v>1056</v>
      </c>
      <c r="E29" s="10" t="s">
        <v>1057</v>
      </c>
      <c r="F29" s="10" t="s">
        <v>94</v>
      </c>
      <c r="G29" s="10"/>
      <c r="H29" s="12" t="s">
        <v>1058</v>
      </c>
      <c r="I29" s="62"/>
      <c r="J29" s="62"/>
      <c r="K29" s="62"/>
      <c r="L29" s="62"/>
      <c r="M29" s="62"/>
      <c r="N29" s="62"/>
      <c r="O29" s="62"/>
      <c r="P29" s="62"/>
      <c r="Q29" s="62"/>
      <c r="R29" s="62"/>
      <c r="S29" s="62"/>
      <c r="T29" s="62"/>
      <c r="U29" s="62"/>
      <c r="V29" s="62"/>
      <c r="W29" s="62"/>
      <c r="X29" s="62"/>
      <c r="Y29" s="62"/>
      <c r="Z29" s="62"/>
    </row>
    <row r="30" ht="16.5" customHeight="1">
      <c r="A30" s="62"/>
      <c r="B30" s="10" t="s">
        <v>68</v>
      </c>
      <c r="C30" s="10" t="s">
        <v>472</v>
      </c>
      <c r="D30" s="10" t="s">
        <v>1059</v>
      </c>
      <c r="E30" s="10" t="s">
        <v>1060</v>
      </c>
      <c r="F30" s="10" t="s">
        <v>71</v>
      </c>
      <c r="G30" s="62"/>
      <c r="H30" s="64" t="s">
        <v>1061</v>
      </c>
      <c r="I30" s="10" t="s">
        <v>30</v>
      </c>
      <c r="J30" s="10" t="s">
        <v>30</v>
      </c>
      <c r="K30" s="10" t="s">
        <v>43</v>
      </c>
      <c r="L30" s="10" t="s">
        <v>44</v>
      </c>
      <c r="M30" s="10" t="s">
        <v>96</v>
      </c>
      <c r="N30" s="10" t="s">
        <v>34</v>
      </c>
      <c r="O30" s="10" t="s">
        <v>46</v>
      </c>
      <c r="P30" s="10"/>
      <c r="Q30" s="10"/>
      <c r="R30" s="10" t="s">
        <v>37</v>
      </c>
      <c r="S30" s="13">
        <v>46140.0</v>
      </c>
      <c r="V30" s="62"/>
      <c r="W30" s="62"/>
      <c r="X30" s="62"/>
      <c r="Y30" s="62"/>
      <c r="Z30" s="62"/>
    </row>
    <row r="31" ht="16.5" customHeight="1">
      <c r="A31" s="62"/>
      <c r="B31" s="10" t="s">
        <v>68</v>
      </c>
      <c r="C31" s="10" t="s">
        <v>472</v>
      </c>
      <c r="D31" s="10" t="s">
        <v>1059</v>
      </c>
      <c r="E31" s="10" t="s">
        <v>1062</v>
      </c>
      <c r="F31" s="10" t="s">
        <v>71</v>
      </c>
      <c r="G31" s="65">
        <v>45536.0</v>
      </c>
      <c r="H31" s="64" t="s">
        <v>1063</v>
      </c>
      <c r="I31" s="151" t="s">
        <v>57</v>
      </c>
      <c r="J31" s="151" t="s">
        <v>30</v>
      </c>
      <c r="K31" s="151" t="s">
        <v>43</v>
      </c>
      <c r="L31" s="151" t="s">
        <v>44</v>
      </c>
      <c r="M31" s="151" t="s">
        <v>45</v>
      </c>
      <c r="N31" s="151" t="s">
        <v>34</v>
      </c>
      <c r="O31" s="151" t="s">
        <v>46</v>
      </c>
      <c r="P31" s="10"/>
      <c r="Q31" s="10"/>
      <c r="R31" s="10" t="s">
        <v>37</v>
      </c>
      <c r="S31" s="13">
        <v>46140.0</v>
      </c>
      <c r="V31" s="62"/>
      <c r="W31" s="62"/>
      <c r="X31" s="62"/>
      <c r="Y31" s="62"/>
      <c r="Z31" s="62"/>
    </row>
    <row r="32" ht="16.5" customHeight="1">
      <c r="B32" s="10" t="s">
        <v>68</v>
      </c>
      <c r="C32" s="10" t="s">
        <v>472</v>
      </c>
      <c r="D32" s="10" t="s">
        <v>1059</v>
      </c>
      <c r="E32" s="10" t="s">
        <v>1064</v>
      </c>
      <c r="F32" s="10" t="s">
        <v>71</v>
      </c>
      <c r="G32" s="65">
        <v>45597.0</v>
      </c>
      <c r="H32" s="64" t="s">
        <v>1065</v>
      </c>
      <c r="I32" s="10" t="s">
        <v>57</v>
      </c>
      <c r="J32" s="10" t="s">
        <v>30</v>
      </c>
      <c r="K32" s="10" t="s">
        <v>43</v>
      </c>
      <c r="L32" s="10" t="s">
        <v>44</v>
      </c>
      <c r="M32" s="10" t="s">
        <v>45</v>
      </c>
      <c r="N32" s="10" t="s">
        <v>34</v>
      </c>
      <c r="O32" s="10" t="s">
        <v>46</v>
      </c>
      <c r="P32" s="10"/>
      <c r="Q32" s="10"/>
      <c r="R32" s="10" t="s">
        <v>37</v>
      </c>
      <c r="S32" s="13">
        <v>46140.0</v>
      </c>
    </row>
    <row r="33" ht="16.5" customHeight="1">
      <c r="B33" s="10" t="s">
        <v>68</v>
      </c>
      <c r="C33" s="10" t="s">
        <v>472</v>
      </c>
      <c r="D33" s="10" t="s">
        <v>1059</v>
      </c>
      <c r="E33" s="10" t="s">
        <v>1066</v>
      </c>
      <c r="F33" s="10" t="s">
        <v>71</v>
      </c>
      <c r="G33" s="65">
        <v>45809.0</v>
      </c>
      <c r="H33" s="64" t="s">
        <v>1067</v>
      </c>
      <c r="I33" s="10" t="s">
        <v>29</v>
      </c>
      <c r="J33" s="10" t="s">
        <v>82</v>
      </c>
      <c r="K33" s="10" t="s">
        <v>43</v>
      </c>
      <c r="L33" s="10" t="s">
        <v>44</v>
      </c>
      <c r="M33" s="10" t="s">
        <v>45</v>
      </c>
      <c r="N33" s="10" t="s">
        <v>34</v>
      </c>
      <c r="O33" s="10" t="s">
        <v>46</v>
      </c>
      <c r="P33" s="10" t="s">
        <v>1068</v>
      </c>
      <c r="Q33" s="10"/>
      <c r="R33" s="10" t="s">
        <v>37</v>
      </c>
      <c r="S33" s="13">
        <v>46140.0</v>
      </c>
    </row>
  </sheetData>
  <mergeCells count="2">
    <mergeCell ref="A14:Z14"/>
    <mergeCell ref="A25:Z25"/>
  </mergeCells>
  <dataValidations>
    <dataValidation type="list" allowBlank="1" sqref="J15:J17">
      <formula1>"Required,Recommended,Not mentioned,Conditional"</formula1>
    </dataValidation>
    <dataValidation type="list" allowBlank="1" sqref="K15:K17">
      <formula1>"Instructor decides,Institution-wide,Gov-mandated,Hybrid/Mixed,Not specified"</formula1>
    </dataValidation>
    <dataValidation type="list" allowBlank="1" sqref="K30:K33">
      <formula1>"Gov-mandated,Faculty/Inst. decides,Instructor decides,Hybrid/Mixed,Not specified"</formula1>
    </dataValidation>
    <dataValidation type="list" allowBlank="1" sqref="B15:B17 B26:B33">
      <formula1>"National/Federal,State/Territory,Institutional,Faculty/Department,Course-wide"</formula1>
    </dataValidation>
    <dataValidation type="list" allowBlank="1" sqref="F15:F17 F26:F33">
      <formula1>"Law/Regulation,Executive Order,Official Guidance,University Policy,Library Guide,Syllabus,FAQ/Resource Page,Syllabus Library,Other"</formula1>
    </dataValidation>
    <dataValidation type="list" allowBlank="1" sqref="I30:I33">
      <formula1>"Prohibitive,Cautious,Functional,Encouraging,Silent,Not specified"</formula1>
    </dataValidation>
    <dataValidation type="list" allowBlank="1" sqref="O15:O17 O30:O33">
      <formula1>"Students only,Faculty only,Both,Researchers,All community"</formula1>
    </dataValidation>
    <dataValidation type="list" allowBlank="1" sqref="I15:I17">
      <formula1>"Prohibitive,Cautious,Encouraging,Silent,Functional,Not Specified"</formula1>
    </dataValidation>
    <dataValidation type="list" allowBlank="1" sqref="J30:J33">
      <formula1>"Required,Conditional,Recommended,Not specified"</formula1>
    </dataValidation>
    <dataValidation type="list" allowBlank="1" sqref="L15:M17">
      <formula1>"Academic Integrity,AI Literacy,Privacy/Data/Ethics,Equity,Pedagogy/Learning Process,Professional Readiness,Not specified"</formula1>
    </dataValidation>
    <dataValidation type="list" allowBlank="1" sqref="N15:N17 N30:N33">
      <formula1>"Explicit penalties,Referenced to integrity code,Guidance only,None stated"</formula1>
    </dataValidation>
    <dataValidation type="list" allowBlank="1" sqref="L30:M33">
      <formula1>"Academic Integrity,AI Literacy,Pedagogy/Learning,Professional Readiness,Privacy/Data/Ethics,Equity"</formula1>
    </dataValidation>
    <dataValidation type="list" allowBlank="1" sqref="C15:C17 C26:C33">
      <formula1>"NYC,Hong Kong"</formula1>
    </dataValidation>
  </dataValidations>
  <hyperlinks>
    <hyperlink r:id="rId1" ref="H15"/>
    <hyperlink r:id="rId2" ref="H16"/>
    <hyperlink r:id="rId3" ref="H17"/>
    <hyperlink r:id="rId4" ref="H26"/>
    <hyperlink r:id="rId5" ref="H28"/>
    <hyperlink r:id="rId6" ref="H29"/>
    <hyperlink r:id="rId7" ref="H30"/>
    <hyperlink r:id="rId8" ref="H31"/>
    <hyperlink r:id="rId9" ref="H32"/>
    <hyperlink r:id="rId10" ref="H33"/>
  </hyperlinks>
  <drawing r:id="rId1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2026-04-16T22:15:00Z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F6A47DEBB6E976DA52A8E16978DE3DB1_43</vt:lpwstr>
  </property>
  <property fmtid="{D5CDD505-2E9C-101B-9397-08002B2CF9AE}" pid="3" name="KSOProductBuildVer">
    <vt:lpwstr>1033-6.8.2.8850</vt:lpwstr>
  </property>
</Properties>
</file>